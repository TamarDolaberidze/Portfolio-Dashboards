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filterPrivacy="1" codeName="ThisWorkbook"/>
  <xr:revisionPtr revIDLastSave="0" documentId="13_ncr:1_{AAE5420C-6C54-4E17-A13A-580BEC1357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l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I222" i="1" s="1"/>
  <c r="E223" i="1"/>
  <c r="I223" i="1" s="1"/>
  <c r="E224" i="1"/>
  <c r="E225" i="1"/>
  <c r="E226" i="1"/>
  <c r="E227" i="1"/>
  <c r="E228" i="1"/>
  <c r="E229" i="1"/>
  <c r="E230" i="1"/>
  <c r="I230" i="1" s="1"/>
  <c r="E231" i="1"/>
  <c r="I231" i="1" s="1"/>
  <c r="E232" i="1"/>
  <c r="E233" i="1"/>
  <c r="E234" i="1"/>
  <c r="E235" i="1"/>
  <c r="E236" i="1"/>
  <c r="E237" i="1"/>
  <c r="E238" i="1"/>
  <c r="I238" i="1" s="1"/>
  <c r="E239" i="1"/>
  <c r="I239" i="1" s="1"/>
  <c r="E240" i="1"/>
  <c r="E241" i="1"/>
  <c r="E242" i="1"/>
  <c r="E243" i="1"/>
  <c r="E244" i="1"/>
  <c r="E245" i="1"/>
  <c r="E246" i="1"/>
  <c r="I246" i="1" s="1"/>
  <c r="E247" i="1"/>
  <c r="I247" i="1" s="1"/>
  <c r="E248" i="1"/>
  <c r="E249" i="1"/>
  <c r="E250" i="1"/>
  <c r="E251" i="1"/>
  <c r="E252" i="1"/>
  <c r="E253" i="1"/>
  <c r="E254" i="1"/>
  <c r="I254" i="1" s="1"/>
  <c r="J254" i="1" s="1"/>
  <c r="E255" i="1"/>
  <c r="I255" i="1" s="1"/>
  <c r="E256" i="1"/>
  <c r="E257" i="1"/>
  <c r="E258" i="1"/>
  <c r="E259" i="1"/>
  <c r="E260" i="1"/>
  <c r="E261" i="1"/>
  <c r="E262" i="1"/>
  <c r="I262" i="1" s="1"/>
  <c r="E263" i="1"/>
  <c r="E264" i="1"/>
  <c r="E265" i="1"/>
  <c r="E266" i="1"/>
  <c r="E267" i="1"/>
  <c r="I267" i="1" s="1"/>
  <c r="E268" i="1"/>
  <c r="E269" i="1"/>
  <c r="E270" i="1"/>
  <c r="E271" i="1"/>
  <c r="I271" i="1" s="1"/>
  <c r="E272" i="1"/>
  <c r="E273" i="1"/>
  <c r="E274" i="1"/>
  <c r="E275" i="1"/>
  <c r="E276" i="1"/>
  <c r="E277" i="1"/>
  <c r="E278" i="1"/>
  <c r="I278" i="1" s="1"/>
  <c r="J278" i="1" s="1"/>
  <c r="E279" i="1"/>
  <c r="I279" i="1" s="1"/>
  <c r="E280" i="1"/>
  <c r="E281" i="1"/>
  <c r="E282" i="1"/>
  <c r="E283" i="1"/>
  <c r="I283" i="1" s="1"/>
  <c r="E284" i="1"/>
  <c r="E285" i="1"/>
  <c r="E286" i="1"/>
  <c r="I286" i="1" s="1"/>
  <c r="E287" i="1"/>
  <c r="E288" i="1"/>
  <c r="E289" i="1"/>
  <c r="E290" i="1"/>
  <c r="E291" i="1"/>
  <c r="E292" i="1"/>
  <c r="E293" i="1"/>
  <c r="E294" i="1"/>
  <c r="E295" i="1"/>
  <c r="E296" i="1"/>
  <c r="E297" i="1"/>
  <c r="E298" i="1"/>
  <c r="I298" i="1" s="1"/>
  <c r="E299" i="1"/>
  <c r="E300" i="1"/>
  <c r="E301" i="1"/>
  <c r="E302" i="1"/>
  <c r="I302" i="1" s="1"/>
  <c r="E303" i="1"/>
  <c r="I303" i="1" s="1"/>
  <c r="E304" i="1"/>
  <c r="E305" i="1"/>
  <c r="E306" i="1"/>
  <c r="E307" i="1"/>
  <c r="E308" i="1"/>
  <c r="E309" i="1"/>
  <c r="E310" i="1"/>
  <c r="I310" i="1" s="1"/>
  <c r="E311" i="1"/>
  <c r="I311" i="1" s="1"/>
  <c r="E312" i="1"/>
  <c r="E313" i="1"/>
  <c r="E314" i="1"/>
  <c r="E315" i="1"/>
  <c r="I315" i="1" s="1"/>
  <c r="E316" i="1"/>
  <c r="E317" i="1"/>
  <c r="E318" i="1"/>
  <c r="E319" i="1"/>
  <c r="I319" i="1" s="1"/>
  <c r="E320" i="1"/>
  <c r="E321" i="1"/>
  <c r="E322" i="1"/>
  <c r="E323" i="1"/>
  <c r="E324" i="1"/>
  <c r="E325" i="1"/>
  <c r="E326" i="1"/>
  <c r="I326" i="1" s="1"/>
  <c r="J326" i="1" s="1"/>
  <c r="E327" i="1"/>
  <c r="E328" i="1"/>
  <c r="E329" i="1"/>
  <c r="E330" i="1"/>
  <c r="I330" i="1" s="1"/>
  <c r="E331" i="1"/>
  <c r="E332" i="1"/>
  <c r="E333" i="1"/>
  <c r="E334" i="1"/>
  <c r="E335" i="1"/>
  <c r="I335" i="1" s="1"/>
  <c r="E336" i="1"/>
  <c r="E337" i="1"/>
  <c r="E338" i="1"/>
  <c r="E339" i="1"/>
  <c r="E340" i="1"/>
  <c r="E341" i="1"/>
  <c r="E342" i="1"/>
  <c r="I342" i="1" s="1"/>
  <c r="J342" i="1" s="1"/>
  <c r="E343" i="1"/>
  <c r="I343" i="1" s="1"/>
  <c r="E344" i="1"/>
  <c r="E345" i="1"/>
  <c r="E346" i="1"/>
  <c r="I346" i="1" s="1"/>
  <c r="E347" i="1"/>
  <c r="I347" i="1" s="1"/>
  <c r="E348" i="1"/>
  <c r="E349" i="1"/>
  <c r="E350" i="1"/>
  <c r="E351" i="1"/>
  <c r="I351" i="1" s="1"/>
  <c r="E352" i="1"/>
  <c r="E353" i="1"/>
  <c r="E354" i="1"/>
  <c r="E355" i="1"/>
  <c r="E356" i="1"/>
  <c r="E357" i="1"/>
  <c r="E358" i="1"/>
  <c r="I358" i="1" s="1"/>
  <c r="J358" i="1" s="1"/>
  <c r="E359" i="1"/>
  <c r="E360" i="1"/>
  <c r="E361" i="1"/>
  <c r="E362" i="1"/>
  <c r="I362" i="1" s="1"/>
  <c r="E363" i="1"/>
  <c r="I363" i="1" s="1"/>
  <c r="E364" i="1"/>
  <c r="E365" i="1"/>
  <c r="E366" i="1"/>
  <c r="E367" i="1"/>
  <c r="I367" i="1" s="1"/>
  <c r="E368" i="1"/>
  <c r="E369" i="1"/>
  <c r="E370" i="1"/>
  <c r="E371" i="1"/>
  <c r="E372" i="1"/>
  <c r="E373" i="1"/>
  <c r="E374" i="1"/>
  <c r="I374" i="1" s="1"/>
  <c r="J374" i="1" s="1"/>
  <c r="E375" i="1"/>
  <c r="E376" i="1"/>
  <c r="E377" i="1"/>
  <c r="E378" i="1"/>
  <c r="E379" i="1"/>
  <c r="I379" i="1" s="1"/>
  <c r="E380" i="1"/>
  <c r="E381" i="1"/>
  <c r="E382" i="1"/>
  <c r="E383" i="1"/>
  <c r="I383" i="1" s="1"/>
  <c r="E384" i="1"/>
  <c r="E385" i="1"/>
  <c r="E386" i="1"/>
  <c r="E387" i="1"/>
  <c r="E388" i="1"/>
  <c r="E389" i="1"/>
  <c r="E390" i="1"/>
  <c r="I390" i="1" s="1"/>
  <c r="J390" i="1" s="1"/>
  <c r="E391" i="1"/>
  <c r="E392" i="1"/>
  <c r="E393" i="1"/>
  <c r="E394" i="1"/>
  <c r="I394" i="1" s="1"/>
  <c r="E395" i="1"/>
  <c r="E396" i="1"/>
  <c r="E397" i="1"/>
  <c r="E398" i="1"/>
  <c r="E399" i="1"/>
  <c r="I399" i="1" s="1"/>
  <c r="E400" i="1"/>
  <c r="E401" i="1"/>
  <c r="E402" i="1"/>
  <c r="E403" i="1"/>
  <c r="E404" i="1"/>
  <c r="E405" i="1"/>
  <c r="E406" i="1"/>
  <c r="I406" i="1" s="1"/>
  <c r="J406" i="1" s="1"/>
  <c r="E407" i="1"/>
  <c r="I407" i="1" s="1"/>
  <c r="E408" i="1"/>
  <c r="E409" i="1"/>
  <c r="E410" i="1"/>
  <c r="E411" i="1"/>
  <c r="I411" i="1" s="1"/>
  <c r="E412" i="1"/>
  <c r="E413" i="1"/>
  <c r="E414" i="1"/>
  <c r="E415" i="1"/>
  <c r="I415" i="1" s="1"/>
  <c r="E416" i="1"/>
  <c r="E417" i="1"/>
  <c r="E418" i="1"/>
  <c r="E419" i="1"/>
  <c r="I419" i="1" s="1"/>
  <c r="E420" i="1"/>
  <c r="E421" i="1"/>
  <c r="E422" i="1"/>
  <c r="E423" i="1"/>
  <c r="E424" i="1"/>
  <c r="E425" i="1"/>
  <c r="E426" i="1"/>
  <c r="E427" i="1"/>
  <c r="I427" i="1" s="1"/>
  <c r="E428" i="1"/>
  <c r="E429" i="1"/>
  <c r="E430" i="1"/>
  <c r="E431" i="1"/>
  <c r="I431" i="1" s="1"/>
  <c r="E432" i="1"/>
  <c r="E433" i="1"/>
  <c r="E434" i="1"/>
  <c r="E435" i="1"/>
  <c r="I435" i="1" s="1"/>
  <c r="E436" i="1"/>
  <c r="E437" i="1"/>
  <c r="E438" i="1"/>
  <c r="I438" i="1" s="1"/>
  <c r="J438" i="1" s="1"/>
  <c r="E439" i="1"/>
  <c r="I439" i="1" s="1"/>
  <c r="E440" i="1"/>
  <c r="E441" i="1"/>
  <c r="E442" i="1"/>
  <c r="E443" i="1"/>
  <c r="I443" i="1" s="1"/>
  <c r="E444" i="1"/>
  <c r="E445" i="1"/>
  <c r="E446" i="1"/>
  <c r="E447" i="1"/>
  <c r="I447" i="1" s="1"/>
  <c r="E448" i="1"/>
  <c r="E449" i="1"/>
  <c r="E450" i="1"/>
  <c r="E451" i="1"/>
  <c r="I451" i="1" s="1"/>
  <c r="E452" i="1"/>
  <c r="E453" i="1"/>
  <c r="E454" i="1"/>
  <c r="I454" i="1" s="1"/>
  <c r="E455" i="1"/>
  <c r="E456" i="1"/>
  <c r="E457" i="1"/>
  <c r="E458" i="1"/>
  <c r="I458" i="1" s="1"/>
  <c r="E459" i="1"/>
  <c r="I459" i="1" s="1"/>
  <c r="E460" i="1"/>
  <c r="E461" i="1"/>
  <c r="E462" i="1"/>
  <c r="I462" i="1" s="1"/>
  <c r="E463" i="1"/>
  <c r="E464" i="1"/>
  <c r="E465" i="1"/>
  <c r="E466" i="1"/>
  <c r="E467" i="1"/>
  <c r="I467" i="1" s="1"/>
  <c r="E468" i="1"/>
  <c r="E469" i="1"/>
  <c r="E470" i="1"/>
  <c r="I470" i="1" s="1"/>
  <c r="J470" i="1" s="1"/>
  <c r="E471" i="1"/>
  <c r="I471" i="1" s="1"/>
  <c r="E472" i="1"/>
  <c r="E473" i="1"/>
  <c r="E474" i="1"/>
  <c r="I474" i="1" s="1"/>
  <c r="E475" i="1"/>
  <c r="I475" i="1" s="1"/>
  <c r="E476" i="1"/>
  <c r="E477" i="1"/>
  <c r="E478" i="1"/>
  <c r="I478" i="1" s="1"/>
  <c r="J478" i="1" s="1"/>
  <c r="E479" i="1"/>
  <c r="I479" i="1" s="1"/>
  <c r="E480" i="1"/>
  <c r="E481" i="1"/>
  <c r="E482" i="1"/>
  <c r="E483" i="1"/>
  <c r="E484" i="1"/>
  <c r="E485" i="1"/>
  <c r="E486" i="1"/>
  <c r="E487" i="1"/>
  <c r="E488" i="1"/>
  <c r="E489" i="1"/>
  <c r="E490" i="1"/>
  <c r="I490" i="1" s="1"/>
  <c r="E491" i="1"/>
  <c r="I491" i="1" s="1"/>
  <c r="E492" i="1"/>
  <c r="E493" i="1"/>
  <c r="E494" i="1"/>
  <c r="I494" i="1" s="1"/>
  <c r="E495" i="1"/>
  <c r="I495" i="1" s="1"/>
  <c r="E496" i="1"/>
  <c r="E497" i="1"/>
  <c r="E498" i="1"/>
  <c r="E499" i="1"/>
  <c r="I499" i="1" s="1"/>
  <c r="E500" i="1"/>
  <c r="E501" i="1"/>
  <c r="E502" i="1"/>
  <c r="I502" i="1" s="1"/>
  <c r="J502" i="1" s="1"/>
  <c r="E503" i="1"/>
  <c r="I503" i="1" s="1"/>
  <c r="E504" i="1"/>
  <c r="E505" i="1"/>
  <c r="E506" i="1"/>
  <c r="E507" i="1"/>
  <c r="I507" i="1" s="1"/>
  <c r="E508" i="1"/>
  <c r="E509" i="1"/>
  <c r="E510" i="1"/>
  <c r="E511" i="1"/>
  <c r="I511" i="1" s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I526" i="1" s="1"/>
  <c r="J526" i="1" s="1"/>
  <c r="E527" i="1"/>
  <c r="I527" i="1" s="1"/>
  <c r="E528" i="1"/>
  <c r="E529" i="1"/>
  <c r="E530" i="1"/>
  <c r="I530" i="1" s="1"/>
  <c r="E531" i="1"/>
  <c r="E532" i="1"/>
  <c r="E533" i="1"/>
  <c r="E534" i="1"/>
  <c r="I534" i="1" s="1"/>
  <c r="J534" i="1" s="1"/>
  <c r="E535" i="1"/>
  <c r="E536" i="1"/>
  <c r="E537" i="1"/>
  <c r="E538" i="1"/>
  <c r="E539" i="1"/>
  <c r="E540" i="1"/>
  <c r="E541" i="1"/>
  <c r="E542" i="1"/>
  <c r="I542" i="1" s="1"/>
  <c r="E543" i="1"/>
  <c r="E544" i="1"/>
  <c r="E545" i="1"/>
  <c r="E546" i="1"/>
  <c r="E547" i="1"/>
  <c r="I547" i="1" s="1"/>
  <c r="E548" i="1"/>
  <c r="E549" i="1"/>
  <c r="E550" i="1"/>
  <c r="I550" i="1" s="1"/>
  <c r="E551" i="1"/>
  <c r="I551" i="1" s="1"/>
  <c r="E552" i="1"/>
  <c r="E553" i="1"/>
  <c r="I553" i="1" s="1"/>
  <c r="E554" i="1"/>
  <c r="I554" i="1" s="1"/>
  <c r="J554" i="1" s="1"/>
  <c r="E555" i="1"/>
  <c r="E556" i="1"/>
  <c r="E557" i="1"/>
  <c r="E558" i="1"/>
  <c r="I558" i="1" s="1"/>
  <c r="E559" i="1"/>
  <c r="E560" i="1"/>
  <c r="E561" i="1"/>
  <c r="E562" i="1"/>
  <c r="E563" i="1"/>
  <c r="E564" i="1"/>
  <c r="E565" i="1"/>
  <c r="E566" i="1"/>
  <c r="I566" i="1" s="1"/>
  <c r="J566" i="1" s="1"/>
  <c r="E567" i="1"/>
  <c r="I567" i="1" s="1"/>
  <c r="E568" i="1"/>
  <c r="E569" i="1"/>
  <c r="E570" i="1"/>
  <c r="I570" i="1" s="1"/>
  <c r="E571" i="1"/>
  <c r="E572" i="1"/>
  <c r="E573" i="1"/>
  <c r="E574" i="1"/>
  <c r="E575" i="1"/>
  <c r="I575" i="1" s="1"/>
  <c r="E576" i="1"/>
  <c r="E577" i="1"/>
  <c r="E578" i="1"/>
  <c r="E579" i="1"/>
  <c r="E580" i="1"/>
  <c r="E581" i="1"/>
  <c r="E582" i="1"/>
  <c r="E583" i="1"/>
  <c r="E584" i="1"/>
  <c r="E585" i="1"/>
  <c r="E586" i="1"/>
  <c r="E587" i="1"/>
  <c r="I587" i="1" s="1"/>
  <c r="E588" i="1"/>
  <c r="E589" i="1"/>
  <c r="E590" i="1"/>
  <c r="E591" i="1"/>
  <c r="I591" i="1" s="1"/>
  <c r="J591" i="1" s="1"/>
  <c r="E592" i="1"/>
  <c r="E593" i="1"/>
  <c r="E594" i="1"/>
  <c r="E595" i="1"/>
  <c r="E596" i="1"/>
  <c r="E597" i="1"/>
  <c r="E598" i="1"/>
  <c r="E599" i="1"/>
  <c r="I599" i="1" s="1"/>
  <c r="E600" i="1"/>
  <c r="E601" i="1"/>
  <c r="E602" i="1"/>
  <c r="I602" i="1" s="1"/>
  <c r="E603" i="1"/>
  <c r="E604" i="1"/>
  <c r="E605" i="1"/>
  <c r="E606" i="1"/>
  <c r="I606" i="1" s="1"/>
  <c r="J606" i="1" s="1"/>
  <c r="E607" i="1"/>
  <c r="E608" i="1"/>
  <c r="E609" i="1"/>
  <c r="E610" i="1"/>
  <c r="E611" i="1"/>
  <c r="E612" i="1"/>
  <c r="E613" i="1"/>
  <c r="E614" i="1"/>
  <c r="E615" i="1"/>
  <c r="I615" i="1" s="1"/>
  <c r="E616" i="1"/>
  <c r="E617" i="1"/>
  <c r="I617" i="1" s="1"/>
  <c r="E618" i="1"/>
  <c r="E619" i="1"/>
  <c r="E620" i="1"/>
  <c r="E621" i="1"/>
  <c r="E622" i="1"/>
  <c r="I622" i="1" s="1"/>
  <c r="E623" i="1"/>
  <c r="I623" i="1" s="1"/>
  <c r="E624" i="1"/>
  <c r="E625" i="1"/>
  <c r="E626" i="1"/>
  <c r="E627" i="1"/>
  <c r="E628" i="1"/>
  <c r="E629" i="1"/>
  <c r="E630" i="1"/>
  <c r="E631" i="1"/>
  <c r="I631" i="1" s="1"/>
  <c r="E632" i="1"/>
  <c r="E633" i="1"/>
  <c r="E634" i="1"/>
  <c r="I634" i="1" s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I651" i="1" s="1"/>
  <c r="E652" i="1"/>
  <c r="E653" i="1"/>
  <c r="E654" i="1"/>
  <c r="E655" i="1"/>
  <c r="I655" i="1" s="1"/>
  <c r="E656" i="1"/>
  <c r="E657" i="1"/>
  <c r="E658" i="1"/>
  <c r="E659" i="1"/>
  <c r="I659" i="1" s="1"/>
  <c r="E660" i="1"/>
  <c r="E661" i="1"/>
  <c r="E662" i="1"/>
  <c r="I662" i="1" s="1"/>
  <c r="E663" i="1"/>
  <c r="I663" i="1" s="1"/>
  <c r="E664" i="1"/>
  <c r="E665" i="1"/>
  <c r="E666" i="1"/>
  <c r="I666" i="1" s="1"/>
  <c r="E667" i="1"/>
  <c r="I667" i="1" s="1"/>
  <c r="E668" i="1"/>
  <c r="E669" i="1"/>
  <c r="E670" i="1"/>
  <c r="E671" i="1"/>
  <c r="E672" i="1"/>
  <c r="E673" i="1"/>
  <c r="E674" i="1"/>
  <c r="E675" i="1"/>
  <c r="E676" i="1"/>
  <c r="E677" i="1"/>
  <c r="E678" i="1"/>
  <c r="I678" i="1" s="1"/>
  <c r="J678" i="1" s="1"/>
  <c r="E679" i="1"/>
  <c r="I679" i="1" s="1"/>
  <c r="E680" i="1"/>
  <c r="E681" i="1"/>
  <c r="I681" i="1" s="1"/>
  <c r="E682" i="1"/>
  <c r="E683" i="1"/>
  <c r="I683" i="1" s="1"/>
  <c r="E684" i="1"/>
  <c r="E685" i="1"/>
  <c r="E686" i="1"/>
  <c r="I686" i="1" s="1"/>
  <c r="E687" i="1"/>
  <c r="I687" i="1" s="1"/>
  <c r="E688" i="1"/>
  <c r="E689" i="1"/>
  <c r="E690" i="1"/>
  <c r="E691" i="1"/>
  <c r="I691" i="1" s="1"/>
  <c r="E692" i="1"/>
  <c r="E693" i="1"/>
  <c r="E694" i="1"/>
  <c r="I694" i="1" s="1"/>
  <c r="J694" i="1" s="1"/>
  <c r="E695" i="1"/>
  <c r="I695" i="1" s="1"/>
  <c r="E696" i="1"/>
  <c r="E697" i="1"/>
  <c r="E698" i="1"/>
  <c r="E699" i="1"/>
  <c r="I699" i="1" s="1"/>
  <c r="E700" i="1"/>
  <c r="E701" i="1"/>
  <c r="E702" i="1"/>
  <c r="I702" i="1" s="1"/>
  <c r="J702" i="1" s="1"/>
  <c r="E703" i="1"/>
  <c r="I703" i="1" s="1"/>
  <c r="E704" i="1"/>
  <c r="E705" i="1"/>
  <c r="E70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I287" i="1"/>
  <c r="I375" i="1"/>
  <c r="I463" i="1"/>
  <c r="I549" i="1"/>
  <c r="I559" i="1"/>
  <c r="I597" i="1"/>
  <c r="J597" i="1" s="1"/>
  <c r="I629" i="1"/>
  <c r="J629" i="1" s="1"/>
  <c r="I639" i="1"/>
  <c r="I677" i="1"/>
  <c r="I252" i="1"/>
  <c r="I256" i="1"/>
  <c r="I258" i="1"/>
  <c r="I259" i="1"/>
  <c r="I260" i="1"/>
  <c r="I264" i="1"/>
  <c r="I266" i="1"/>
  <c r="I268" i="1"/>
  <c r="I274" i="1"/>
  <c r="I275" i="1"/>
  <c r="I276" i="1"/>
  <c r="I284" i="1"/>
  <c r="I285" i="1"/>
  <c r="I290" i="1"/>
  <c r="I291" i="1"/>
  <c r="I292" i="1"/>
  <c r="I296" i="1"/>
  <c r="I299" i="1"/>
  <c r="I300" i="1"/>
  <c r="I306" i="1"/>
  <c r="I307" i="1"/>
  <c r="I308" i="1"/>
  <c r="I316" i="1"/>
  <c r="I318" i="1"/>
  <c r="I322" i="1"/>
  <c r="I323" i="1"/>
  <c r="I324" i="1"/>
  <c r="I328" i="1"/>
  <c r="I331" i="1"/>
  <c r="I332" i="1"/>
  <c r="I338" i="1"/>
  <c r="I339" i="1"/>
  <c r="I340" i="1"/>
  <c r="I348" i="1"/>
  <c r="J348" i="1" s="1"/>
  <c r="I350" i="1"/>
  <c r="I354" i="1"/>
  <c r="I355" i="1"/>
  <c r="I356" i="1"/>
  <c r="I360" i="1"/>
  <c r="J360" i="1" s="1"/>
  <c r="I364" i="1"/>
  <c r="J364" i="1" s="1"/>
  <c r="I366" i="1"/>
  <c r="I370" i="1"/>
  <c r="I371" i="1"/>
  <c r="I372" i="1"/>
  <c r="J372" i="1" s="1"/>
  <c r="I378" i="1"/>
  <c r="I380" i="1"/>
  <c r="J380" i="1" s="1"/>
  <c r="I381" i="1"/>
  <c r="J381" i="1" s="1"/>
  <c r="I382" i="1"/>
  <c r="J382" i="1" s="1"/>
  <c r="I386" i="1"/>
  <c r="I387" i="1"/>
  <c r="I388" i="1"/>
  <c r="J388" i="1" s="1"/>
  <c r="I392" i="1"/>
  <c r="I395" i="1"/>
  <c r="I396" i="1"/>
  <c r="J396" i="1" s="1"/>
  <c r="I402" i="1"/>
  <c r="I403" i="1"/>
  <c r="I404" i="1"/>
  <c r="J404" i="1" s="1"/>
  <c r="I408" i="1"/>
  <c r="I412" i="1"/>
  <c r="J412" i="1" s="1"/>
  <c r="I418" i="1"/>
  <c r="I420" i="1"/>
  <c r="J420" i="1" s="1"/>
  <c r="I424" i="1"/>
  <c r="I426" i="1"/>
  <c r="I428" i="1"/>
  <c r="J428" i="1" s="1"/>
  <c r="I430" i="1"/>
  <c r="I434" i="1"/>
  <c r="I436" i="1"/>
  <c r="J436" i="1" s="1"/>
  <c r="I442" i="1"/>
  <c r="I444" i="1"/>
  <c r="J444" i="1" s="1"/>
  <c r="I446" i="1"/>
  <c r="J446" i="1" s="1"/>
  <c r="I450" i="1"/>
  <c r="I452" i="1"/>
  <c r="J452" i="1" s="1"/>
  <c r="I456" i="1"/>
  <c r="I460" i="1"/>
  <c r="J460" i="1" s="1"/>
  <c r="I466" i="1"/>
  <c r="I468" i="1"/>
  <c r="J468" i="1" s="1"/>
  <c r="I472" i="1"/>
  <c r="I476" i="1"/>
  <c r="I477" i="1"/>
  <c r="I482" i="1"/>
  <c r="I483" i="1"/>
  <c r="I484" i="1"/>
  <c r="J484" i="1" s="1"/>
  <c r="I492" i="1"/>
  <c r="J492" i="1" s="1"/>
  <c r="I498" i="1"/>
  <c r="I500" i="1"/>
  <c r="J500" i="1" s="1"/>
  <c r="I506" i="1"/>
  <c r="I508" i="1"/>
  <c r="J508" i="1" s="1"/>
  <c r="I515" i="1"/>
  <c r="I516" i="1"/>
  <c r="I520" i="1"/>
  <c r="I522" i="1"/>
  <c r="I523" i="1"/>
  <c r="I524" i="1"/>
  <c r="J524" i="1" s="1"/>
  <c r="I531" i="1"/>
  <c r="I532" i="1"/>
  <c r="I535" i="1"/>
  <c r="I538" i="1"/>
  <c r="I539" i="1"/>
  <c r="I540" i="1"/>
  <c r="J540" i="1" s="1"/>
  <c r="I544" i="1"/>
  <c r="I546" i="1"/>
  <c r="I548" i="1"/>
  <c r="J548" i="1" s="1"/>
  <c r="I555" i="1"/>
  <c r="I556" i="1"/>
  <c r="J556" i="1" s="1"/>
  <c r="I560" i="1"/>
  <c r="I562" i="1"/>
  <c r="I563" i="1"/>
  <c r="I568" i="1"/>
  <c r="I571" i="1"/>
  <c r="I572" i="1"/>
  <c r="J572" i="1" s="1"/>
  <c r="I578" i="1"/>
  <c r="I579" i="1"/>
  <c r="I580" i="1"/>
  <c r="I586" i="1"/>
  <c r="J586" i="1" s="1"/>
  <c r="I588" i="1"/>
  <c r="J588" i="1" s="1"/>
  <c r="I590" i="1"/>
  <c r="J590" i="1" s="1"/>
  <c r="I592" i="1"/>
  <c r="I594" i="1"/>
  <c r="I595" i="1"/>
  <c r="I596" i="1"/>
  <c r="J596" i="1" s="1"/>
  <c r="I598" i="1"/>
  <c r="J598" i="1" s="1"/>
  <c r="I603" i="1"/>
  <c r="I604" i="1"/>
  <c r="J604" i="1" s="1"/>
  <c r="I608" i="1"/>
  <c r="I610" i="1"/>
  <c r="I611" i="1"/>
  <c r="I612" i="1"/>
  <c r="I619" i="1"/>
  <c r="I620" i="1"/>
  <c r="J620" i="1" s="1"/>
  <c r="I624" i="1"/>
  <c r="I626" i="1"/>
  <c r="I627" i="1"/>
  <c r="I630" i="1"/>
  <c r="J630" i="1" s="1"/>
  <c r="I632" i="1"/>
  <c r="I635" i="1"/>
  <c r="I636" i="1"/>
  <c r="J636" i="1" s="1"/>
  <c r="I642" i="1"/>
  <c r="I643" i="1"/>
  <c r="I644" i="1"/>
  <c r="J644" i="1" s="1"/>
  <c r="I646" i="1"/>
  <c r="J646" i="1" s="1"/>
  <c r="I652" i="1"/>
  <c r="J652" i="1" s="1"/>
  <c r="I654" i="1"/>
  <c r="I656" i="1"/>
  <c r="I660" i="1"/>
  <c r="I668" i="1"/>
  <c r="J668" i="1" s="1"/>
  <c r="I670" i="1"/>
  <c r="J670" i="1" s="1"/>
  <c r="I672" i="1"/>
  <c r="I674" i="1"/>
  <c r="I675" i="1"/>
  <c r="I676" i="1"/>
  <c r="J676" i="1" s="1"/>
  <c r="I682" i="1"/>
  <c r="J682" i="1" s="1"/>
  <c r="I684" i="1"/>
  <c r="J684" i="1" s="1"/>
  <c r="I688" i="1"/>
  <c r="I690" i="1"/>
  <c r="I696" i="1"/>
  <c r="I698" i="1"/>
  <c r="I700" i="1"/>
  <c r="J700" i="1" s="1"/>
  <c r="I704" i="1"/>
  <c r="I706" i="1"/>
  <c r="I253" i="1"/>
  <c r="J253" i="1" s="1"/>
  <c r="I261" i="1"/>
  <c r="I269" i="1"/>
  <c r="I270" i="1"/>
  <c r="I272" i="1"/>
  <c r="I277" i="1"/>
  <c r="I280" i="1"/>
  <c r="I282" i="1"/>
  <c r="I288" i="1"/>
  <c r="I293" i="1"/>
  <c r="I294" i="1"/>
  <c r="J294" i="1" s="1"/>
  <c r="I301" i="1"/>
  <c r="I304" i="1"/>
  <c r="I309" i="1"/>
  <c r="I312" i="1"/>
  <c r="I314" i="1"/>
  <c r="I317" i="1"/>
  <c r="J317" i="1" s="1"/>
  <c r="I320" i="1"/>
  <c r="I325" i="1"/>
  <c r="I333" i="1"/>
  <c r="I334" i="1"/>
  <c r="I336" i="1"/>
  <c r="I341" i="1"/>
  <c r="J341" i="1" s="1"/>
  <c r="I344" i="1"/>
  <c r="I349" i="1"/>
  <c r="J349" i="1" s="1"/>
  <c r="I352" i="1"/>
  <c r="J352" i="1" s="1"/>
  <c r="I357" i="1"/>
  <c r="I365" i="1"/>
  <c r="J365" i="1" s="1"/>
  <c r="I368" i="1"/>
  <c r="I373" i="1"/>
  <c r="I376" i="1"/>
  <c r="I384" i="1"/>
  <c r="I389" i="1"/>
  <c r="I397" i="1"/>
  <c r="I398" i="1"/>
  <c r="I400" i="1"/>
  <c r="I405" i="1"/>
  <c r="I410" i="1"/>
  <c r="I413" i="1"/>
  <c r="J413" i="1" s="1"/>
  <c r="I414" i="1"/>
  <c r="J414" i="1" s="1"/>
  <c r="I416" i="1"/>
  <c r="I421" i="1"/>
  <c r="I422" i="1"/>
  <c r="J422" i="1" s="1"/>
  <c r="I429" i="1"/>
  <c r="J429" i="1" s="1"/>
  <c r="I432" i="1"/>
  <c r="I437" i="1"/>
  <c r="J437" i="1" s="1"/>
  <c r="I440" i="1"/>
  <c r="J440" i="1" s="1"/>
  <c r="I445" i="1"/>
  <c r="I448" i="1"/>
  <c r="I453" i="1"/>
  <c r="I461" i="1"/>
  <c r="J461" i="1" s="1"/>
  <c r="I464" i="1"/>
  <c r="I469" i="1"/>
  <c r="J469" i="1" s="1"/>
  <c r="I480" i="1"/>
  <c r="J480" i="1" s="1"/>
  <c r="I485" i="1"/>
  <c r="I486" i="1"/>
  <c r="J486" i="1" s="1"/>
  <c r="I488" i="1"/>
  <c r="I493" i="1"/>
  <c r="I496" i="1"/>
  <c r="I501" i="1"/>
  <c r="J501" i="1" s="1"/>
  <c r="I504" i="1"/>
  <c r="J504" i="1" s="1"/>
  <c r="I509" i="1"/>
  <c r="I510" i="1"/>
  <c r="I512" i="1"/>
  <c r="I514" i="1"/>
  <c r="I517" i="1"/>
  <c r="I518" i="1"/>
  <c r="I525" i="1"/>
  <c r="I528" i="1"/>
  <c r="I533" i="1"/>
  <c r="I536" i="1"/>
  <c r="I541" i="1"/>
  <c r="J541" i="1" s="1"/>
  <c r="I552" i="1"/>
  <c r="I557" i="1"/>
  <c r="I565" i="1"/>
  <c r="I573" i="1"/>
  <c r="I574" i="1"/>
  <c r="I576" i="1"/>
  <c r="I581" i="1"/>
  <c r="I582" i="1"/>
  <c r="J582" i="1" s="1"/>
  <c r="I584" i="1"/>
  <c r="I589" i="1"/>
  <c r="I600" i="1"/>
  <c r="J600" i="1" s="1"/>
  <c r="I605" i="1"/>
  <c r="J605" i="1" s="1"/>
  <c r="I613" i="1"/>
  <c r="I614" i="1"/>
  <c r="J614" i="1" s="1"/>
  <c r="I616" i="1"/>
  <c r="I618" i="1"/>
  <c r="I621" i="1"/>
  <c r="I637" i="1"/>
  <c r="I638" i="1"/>
  <c r="J638" i="1" s="1"/>
  <c r="I640" i="1"/>
  <c r="I645" i="1"/>
  <c r="I648" i="1"/>
  <c r="I650" i="1"/>
  <c r="I653" i="1"/>
  <c r="I658" i="1"/>
  <c r="I661" i="1"/>
  <c r="J661" i="1" s="1"/>
  <c r="I664" i="1"/>
  <c r="I669" i="1"/>
  <c r="J669" i="1" s="1"/>
  <c r="I680" i="1"/>
  <c r="I685" i="1"/>
  <c r="I693" i="1"/>
  <c r="J693" i="1" s="1"/>
  <c r="I701" i="1"/>
  <c r="J510" i="1"/>
  <c r="I251" i="1"/>
  <c r="I221" i="1"/>
  <c r="I224" i="1"/>
  <c r="I225" i="1"/>
  <c r="I226" i="1"/>
  <c r="I227" i="1"/>
  <c r="I228" i="1"/>
  <c r="I229" i="1"/>
  <c r="I232" i="1"/>
  <c r="I233" i="1"/>
  <c r="I234" i="1"/>
  <c r="I235" i="1"/>
  <c r="I236" i="1"/>
  <c r="I237" i="1"/>
  <c r="I240" i="1"/>
  <c r="I241" i="1"/>
  <c r="I242" i="1"/>
  <c r="I243" i="1"/>
  <c r="I244" i="1"/>
  <c r="I245" i="1"/>
  <c r="I248" i="1"/>
  <c r="I249" i="1"/>
  <c r="I250" i="1"/>
  <c r="J376" i="1" l="1"/>
  <c r="J695" i="1"/>
  <c r="J615" i="1"/>
  <c r="J496" i="1"/>
  <c r="J632" i="1"/>
  <c r="J535" i="1"/>
  <c r="J256" i="1"/>
  <c r="J375" i="1"/>
  <c r="J681" i="1"/>
  <c r="J400" i="1"/>
  <c r="J704" i="1"/>
  <c r="J656" i="1"/>
  <c r="J279" i="1"/>
  <c r="J688" i="1"/>
  <c r="J568" i="1"/>
  <c r="J544" i="1"/>
  <c r="J520" i="1"/>
  <c r="J456" i="1"/>
  <c r="J392" i="1"/>
  <c r="J296" i="1"/>
  <c r="J271" i="1"/>
  <c r="J680" i="1"/>
  <c r="J272" i="1"/>
  <c r="J592" i="1"/>
  <c r="J343" i="1"/>
  <c r="J536" i="1"/>
  <c r="J416" i="1"/>
  <c r="J335" i="1"/>
  <c r="J310" i="1"/>
  <c r="J325" i="1"/>
  <c r="J567" i="1"/>
  <c r="J701" i="1"/>
  <c r="J565" i="1"/>
  <c r="J373" i="1"/>
  <c r="J439" i="1"/>
  <c r="J399" i="1"/>
  <c r="J687" i="1"/>
  <c r="J580" i="1"/>
  <c r="J532" i="1"/>
  <c r="J686" i="1"/>
  <c r="J637" i="1"/>
  <c r="J336" i="1"/>
  <c r="J542" i="1"/>
  <c r="J476" i="1"/>
  <c r="J454" i="1"/>
  <c r="J262" i="1"/>
  <c r="J623" i="1"/>
  <c r="J525" i="1"/>
  <c r="J559" i="1"/>
  <c r="J527" i="1"/>
  <c r="J471" i="1"/>
  <c r="J495" i="1"/>
  <c r="J405" i="1"/>
  <c r="J334" i="1"/>
  <c r="J624" i="1"/>
  <c r="J312" i="1"/>
  <c r="J650" i="1"/>
  <c r="J518" i="1"/>
  <c r="J357" i="1"/>
  <c r="J309" i="1"/>
  <c r="J662" i="1"/>
  <c r="J612" i="1"/>
  <c r="J516" i="1"/>
  <c r="J356" i="1"/>
  <c r="J302" i="1"/>
  <c r="J407" i="1"/>
  <c r="J367" i="1"/>
  <c r="J648" i="1"/>
  <c r="J660" i="1"/>
  <c r="J599" i="1"/>
  <c r="J550" i="1"/>
  <c r="J503" i="1"/>
  <c r="J463" i="1"/>
  <c r="J303" i="1"/>
  <c r="J431" i="1"/>
  <c r="J679" i="1"/>
  <c r="J654" i="1"/>
  <c r="J551" i="1"/>
  <c r="J631" i="1"/>
  <c r="J655" i="1"/>
  <c r="J663" i="1"/>
  <c r="J311" i="1"/>
  <c r="J645" i="1"/>
  <c r="J494" i="1"/>
  <c r="J462" i="1"/>
  <c r="I689" i="1"/>
  <c r="J689" i="1" s="1"/>
  <c r="I671" i="1"/>
  <c r="J671" i="1" s="1"/>
  <c r="I625" i="1"/>
  <c r="J625" i="1" s="1"/>
  <c r="I607" i="1"/>
  <c r="J607" i="1" s="1"/>
  <c r="I561" i="1"/>
  <c r="J561" i="1" s="1"/>
  <c r="I543" i="1"/>
  <c r="J543" i="1" s="1"/>
  <c r="J340" i="1"/>
  <c r="J332" i="1"/>
  <c r="J324" i="1"/>
  <c r="J316" i="1"/>
  <c r="J308" i="1"/>
  <c r="J300" i="1"/>
  <c r="J292" i="1"/>
  <c r="J284" i="1"/>
  <c r="I569" i="1"/>
  <c r="J569" i="1" s="1"/>
  <c r="J622" i="1"/>
  <c r="J398" i="1"/>
  <c r="J270" i="1"/>
  <c r="I705" i="1"/>
  <c r="J705" i="1" s="1"/>
  <c r="I641" i="1"/>
  <c r="J641" i="1" s="1"/>
  <c r="I577" i="1"/>
  <c r="J577" i="1" s="1"/>
  <c r="J581" i="1"/>
  <c r="J685" i="1"/>
  <c r="J653" i="1"/>
  <c r="J621" i="1"/>
  <c r="J549" i="1"/>
  <c r="J517" i="1"/>
  <c r="J397" i="1"/>
  <c r="J333" i="1"/>
  <c r="J301" i="1"/>
  <c r="J269" i="1"/>
  <c r="I649" i="1"/>
  <c r="J649" i="1" s="1"/>
  <c r="I585" i="1"/>
  <c r="J585" i="1" s="1"/>
  <c r="I521" i="1"/>
  <c r="J521" i="1" s="1"/>
  <c r="I513" i="1"/>
  <c r="J513" i="1" s="1"/>
  <c r="I505" i="1"/>
  <c r="J505" i="1" s="1"/>
  <c r="I497" i="1"/>
  <c r="J497" i="1" s="1"/>
  <c r="I489" i="1"/>
  <c r="J489" i="1" s="1"/>
  <c r="I481" i="1"/>
  <c r="J481" i="1" s="1"/>
  <c r="I473" i="1"/>
  <c r="J473" i="1" s="1"/>
  <c r="I465" i="1"/>
  <c r="J465" i="1" s="1"/>
  <c r="I457" i="1"/>
  <c r="J457" i="1" s="1"/>
  <c r="I449" i="1"/>
  <c r="J449" i="1" s="1"/>
  <c r="I441" i="1"/>
  <c r="J441" i="1" s="1"/>
  <c r="I433" i="1"/>
  <c r="J433" i="1" s="1"/>
  <c r="I425" i="1"/>
  <c r="I417" i="1"/>
  <c r="J417" i="1" s="1"/>
  <c r="I409" i="1"/>
  <c r="I401" i="1"/>
  <c r="J401" i="1" s="1"/>
  <c r="I393" i="1"/>
  <c r="J393" i="1" s="1"/>
  <c r="I385" i="1"/>
  <c r="J385" i="1" s="1"/>
  <c r="I377" i="1"/>
  <c r="J377" i="1" s="1"/>
  <c r="I369" i="1"/>
  <c r="J369" i="1" s="1"/>
  <c r="I361" i="1"/>
  <c r="J361" i="1" s="1"/>
  <c r="I353" i="1"/>
  <c r="J353" i="1" s="1"/>
  <c r="I345" i="1"/>
  <c r="J345" i="1" s="1"/>
  <c r="I337" i="1"/>
  <c r="J337" i="1" s="1"/>
  <c r="I329" i="1"/>
  <c r="I321" i="1"/>
  <c r="J321" i="1" s="1"/>
  <c r="I313" i="1"/>
  <c r="J313" i="1" s="1"/>
  <c r="I305" i="1"/>
  <c r="J305" i="1" s="1"/>
  <c r="I297" i="1"/>
  <c r="J297" i="1" s="1"/>
  <c r="I289" i="1"/>
  <c r="I281" i="1"/>
  <c r="J281" i="1" s="1"/>
  <c r="I273" i="1"/>
  <c r="J273" i="1" s="1"/>
  <c r="I265" i="1"/>
  <c r="J265" i="1" s="1"/>
  <c r="I257" i="1"/>
  <c r="J257" i="1" s="1"/>
  <c r="J703" i="1"/>
  <c r="J639" i="1"/>
  <c r="J575" i="1"/>
  <c r="J511" i="1"/>
  <c r="J479" i="1"/>
  <c r="J447" i="1"/>
  <c r="J415" i="1"/>
  <c r="J383" i="1"/>
  <c r="J351" i="1"/>
  <c r="J319" i="1"/>
  <c r="J287" i="1"/>
  <c r="J255" i="1"/>
  <c r="I697" i="1"/>
  <c r="I657" i="1"/>
  <c r="J657" i="1" s="1"/>
  <c r="I593" i="1"/>
  <c r="J593" i="1" s="1"/>
  <c r="I529" i="1"/>
  <c r="J529" i="1" s="1"/>
  <c r="I633" i="1"/>
  <c r="J633" i="1" s="1"/>
  <c r="J453" i="1"/>
  <c r="J421" i="1"/>
  <c r="J589" i="1"/>
  <c r="J574" i="1"/>
  <c r="J558" i="1"/>
  <c r="J485" i="1"/>
  <c r="I692" i="1"/>
  <c r="J692" i="1" s="1"/>
  <c r="I665" i="1"/>
  <c r="J665" i="1" s="1"/>
  <c r="I647" i="1"/>
  <c r="J647" i="1" s="1"/>
  <c r="I628" i="1"/>
  <c r="J628" i="1" s="1"/>
  <c r="I601" i="1"/>
  <c r="J601" i="1" s="1"/>
  <c r="I583" i="1"/>
  <c r="J583" i="1" s="1"/>
  <c r="I564" i="1"/>
  <c r="J564" i="1" s="1"/>
  <c r="J546" i="1"/>
  <c r="I537" i="1"/>
  <c r="J537" i="1" s="1"/>
  <c r="I519" i="1"/>
  <c r="J519" i="1" s="1"/>
  <c r="I487" i="1"/>
  <c r="J487" i="1" s="1"/>
  <c r="I455" i="1"/>
  <c r="J455" i="1" s="1"/>
  <c r="I423" i="1"/>
  <c r="J423" i="1" s="1"/>
  <c r="I391" i="1"/>
  <c r="J391" i="1" s="1"/>
  <c r="I359" i="1"/>
  <c r="J359" i="1" s="1"/>
  <c r="I327" i="1"/>
  <c r="J327" i="1" s="1"/>
  <c r="I295" i="1"/>
  <c r="J295" i="1" s="1"/>
  <c r="I263" i="1"/>
  <c r="J263" i="1" s="1"/>
  <c r="I673" i="1"/>
  <c r="J673" i="1" s="1"/>
  <c r="I609" i="1"/>
  <c r="I545" i="1"/>
  <c r="J545" i="1" s="1"/>
  <c r="J430" i="1"/>
  <c r="J366" i="1"/>
  <c r="J350" i="1"/>
  <c r="J318" i="1"/>
  <c r="J286" i="1"/>
  <c r="J293" i="1"/>
  <c r="J277" i="1"/>
  <c r="J276" i="1"/>
  <c r="J268" i="1"/>
  <c r="J260" i="1"/>
  <c r="J252" i="1"/>
  <c r="J690" i="1"/>
  <c r="J658" i="1"/>
  <c r="J677" i="1"/>
  <c r="J613" i="1"/>
  <c r="J477" i="1"/>
  <c r="J699" i="1"/>
  <c r="J691" i="1"/>
  <c r="J683" i="1"/>
  <c r="J675" i="1"/>
  <c r="J667" i="1"/>
  <c r="J659" i="1"/>
  <c r="J651" i="1"/>
  <c r="J643" i="1"/>
  <c r="J635" i="1"/>
  <c r="J627" i="1"/>
  <c r="J619" i="1"/>
  <c r="J611" i="1"/>
  <c r="J603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499" i="1"/>
  <c r="J491" i="1"/>
  <c r="J483" i="1"/>
  <c r="J475" i="1"/>
  <c r="J467" i="1"/>
  <c r="J459" i="1"/>
  <c r="J451" i="1"/>
  <c r="J443" i="1"/>
  <c r="J435" i="1"/>
  <c r="J427" i="1"/>
  <c r="J419" i="1"/>
  <c r="J411" i="1"/>
  <c r="J403" i="1"/>
  <c r="J395" i="1"/>
  <c r="J387" i="1"/>
  <c r="J379" i="1"/>
  <c r="J371" i="1"/>
  <c r="J363" i="1"/>
  <c r="J355" i="1"/>
  <c r="J347" i="1"/>
  <c r="J339" i="1"/>
  <c r="J331" i="1"/>
  <c r="J323" i="1"/>
  <c r="J315" i="1"/>
  <c r="J307" i="1"/>
  <c r="J299" i="1"/>
  <c r="J291" i="1"/>
  <c r="J283" i="1"/>
  <c r="J275" i="1"/>
  <c r="J259" i="1"/>
  <c r="J666" i="1"/>
  <c r="J578" i="1"/>
  <c r="J538" i="1"/>
  <c r="J697" i="1"/>
  <c r="J617" i="1"/>
  <c r="J609" i="1"/>
  <c r="J553" i="1"/>
  <c r="J425" i="1"/>
  <c r="J409" i="1"/>
  <c r="J329" i="1"/>
  <c r="J289" i="1"/>
  <c r="J626" i="1"/>
  <c r="J696" i="1"/>
  <c r="J672" i="1"/>
  <c r="J664" i="1"/>
  <c r="J640" i="1"/>
  <c r="J616" i="1"/>
  <c r="J608" i="1"/>
  <c r="J584" i="1"/>
  <c r="J576" i="1"/>
  <c r="J560" i="1"/>
  <c r="J552" i="1"/>
  <c r="J528" i="1"/>
  <c r="J512" i="1"/>
  <c r="J488" i="1"/>
  <c r="J472" i="1"/>
  <c r="J464" i="1"/>
  <c r="J448" i="1"/>
  <c r="J432" i="1"/>
  <c r="J424" i="1"/>
  <c r="J408" i="1"/>
  <c r="J384" i="1"/>
  <c r="J368" i="1"/>
  <c r="J344" i="1"/>
  <c r="J328" i="1"/>
  <c r="J320" i="1"/>
  <c r="J304" i="1"/>
  <c r="J288" i="1"/>
  <c r="J280" i="1"/>
  <c r="J264" i="1"/>
  <c r="J706" i="1"/>
  <c r="J610" i="1"/>
  <c r="J562" i="1"/>
  <c r="J445" i="1"/>
  <c r="J674" i="1"/>
  <c r="J602" i="1"/>
  <c r="J389" i="1"/>
  <c r="J285" i="1"/>
  <c r="J261" i="1"/>
  <c r="J634" i="1"/>
  <c r="J570" i="1"/>
  <c r="J618" i="1"/>
  <c r="J698" i="1"/>
  <c r="J642" i="1"/>
  <c r="J594" i="1"/>
  <c r="J573" i="1"/>
  <c r="J557" i="1"/>
  <c r="J533" i="1"/>
  <c r="J509" i="1"/>
  <c r="J493" i="1"/>
  <c r="J530" i="1"/>
  <c r="J522" i="1"/>
  <c r="J514" i="1"/>
  <c r="J506" i="1"/>
  <c r="J498" i="1"/>
  <c r="J490" i="1"/>
  <c r="J482" i="1"/>
  <c r="J474" i="1"/>
  <c r="J466" i="1"/>
  <c r="J458" i="1"/>
  <c r="J450" i="1"/>
  <c r="J442" i="1"/>
  <c r="J434" i="1"/>
  <c r="J426" i="1"/>
  <c r="J418" i="1"/>
  <c r="J410" i="1"/>
  <c r="J402" i="1"/>
  <c r="J394" i="1"/>
  <c r="J386" i="1"/>
  <c r="J378" i="1"/>
  <c r="J370" i="1"/>
  <c r="J362" i="1"/>
  <c r="J354" i="1"/>
  <c r="J346" i="1"/>
  <c r="J338" i="1"/>
  <c r="J330" i="1"/>
  <c r="J322" i="1"/>
  <c r="J314" i="1"/>
  <c r="J306" i="1"/>
  <c r="J298" i="1"/>
  <c r="J290" i="1"/>
  <c r="J282" i="1"/>
  <c r="J274" i="1"/>
  <c r="J266" i="1"/>
  <c r="J258" i="1"/>
  <c r="J267" i="1"/>
  <c r="J251" i="1"/>
  <c r="J245" i="1"/>
  <c r="J237" i="1"/>
  <c r="J229" i="1"/>
  <c r="J221" i="1"/>
  <c r="J249" i="1"/>
  <c r="J241" i="1"/>
  <c r="J233" i="1"/>
  <c r="J225" i="1"/>
  <c r="J250" i="1"/>
  <c r="J242" i="1"/>
  <c r="J234" i="1"/>
  <c r="J226" i="1"/>
  <c r="J244" i="1"/>
  <c r="J236" i="1"/>
  <c r="J228" i="1"/>
  <c r="J243" i="1"/>
  <c r="J235" i="1"/>
  <c r="J227" i="1"/>
  <c r="J248" i="1"/>
  <c r="J240" i="1"/>
  <c r="J232" i="1"/>
  <c r="J224" i="1"/>
  <c r="J246" i="1"/>
  <c r="J238" i="1"/>
  <c r="J230" i="1"/>
  <c r="J222" i="1"/>
  <c r="J247" i="1"/>
  <c r="J239" i="1"/>
  <c r="J231" i="1"/>
  <c r="J223" i="1"/>
  <c r="I219" i="1" l="1"/>
  <c r="I218" i="1"/>
  <c r="I217" i="1"/>
  <c r="I216" i="1"/>
  <c r="I215" i="1"/>
  <c r="I214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6" i="1"/>
  <c r="I195" i="1"/>
  <c r="I194" i="1"/>
  <c r="I193" i="1"/>
  <c r="I192" i="1"/>
  <c r="I191" i="1"/>
  <c r="I190" i="1"/>
  <c r="I188" i="1"/>
  <c r="I187" i="1"/>
  <c r="I186" i="1"/>
  <c r="I185" i="1"/>
  <c r="I184" i="1"/>
  <c r="I183" i="1"/>
  <c r="I180" i="1"/>
  <c r="I179" i="1"/>
  <c r="I178" i="1"/>
  <c r="I177" i="1"/>
  <c r="I176" i="1"/>
  <c r="I175" i="1"/>
  <c r="I172" i="1"/>
  <c r="I171" i="1"/>
  <c r="I170" i="1"/>
  <c r="I169" i="1"/>
  <c r="I168" i="1"/>
  <c r="I167" i="1"/>
  <c r="I164" i="1"/>
  <c r="I163" i="1"/>
  <c r="I162" i="1"/>
  <c r="I161" i="1"/>
  <c r="I160" i="1"/>
  <c r="I159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6" i="1"/>
  <c r="J153" i="1" l="1"/>
  <c r="J149" i="1"/>
  <c r="J151" i="1"/>
  <c r="J167" i="1"/>
  <c r="J191" i="1"/>
  <c r="J207" i="1"/>
  <c r="J215" i="1"/>
  <c r="J142" i="1"/>
  <c r="J206" i="1"/>
  <c r="J214" i="1"/>
  <c r="J143" i="1"/>
  <c r="J159" i="1"/>
  <c r="J183" i="1"/>
  <c r="J199" i="1"/>
  <c r="J190" i="1"/>
  <c r="J150" i="1"/>
  <c r="I173" i="1"/>
  <c r="J173" i="1" s="1"/>
  <c r="I189" i="1"/>
  <c r="J189" i="1" s="1"/>
  <c r="I213" i="1"/>
  <c r="J213" i="1" s="1"/>
  <c r="I158" i="1"/>
  <c r="J158" i="1" s="1"/>
  <c r="I182" i="1"/>
  <c r="J182" i="1" s="1"/>
  <c r="I220" i="1"/>
  <c r="J220" i="1" s="1"/>
  <c r="I157" i="1"/>
  <c r="J157" i="1" s="1"/>
  <c r="I166" i="1"/>
  <c r="J166" i="1" s="1"/>
  <c r="I198" i="1"/>
  <c r="J198" i="1" s="1"/>
  <c r="I165" i="1"/>
  <c r="J165" i="1" s="1"/>
  <c r="I181" i="1"/>
  <c r="J181" i="1" s="1"/>
  <c r="I197" i="1"/>
  <c r="J197" i="1" s="1"/>
  <c r="I174" i="1"/>
  <c r="J174" i="1" s="1"/>
  <c r="J152" i="1"/>
  <c r="J192" i="1"/>
  <c r="J216" i="1"/>
  <c r="J175" i="1"/>
  <c r="J144" i="1"/>
  <c r="J176" i="1"/>
  <c r="J184" i="1"/>
  <c r="J200" i="1"/>
  <c r="J208" i="1"/>
  <c r="J160" i="1"/>
  <c r="J168" i="1"/>
  <c r="J145" i="1"/>
  <c r="J161" i="1"/>
  <c r="J169" i="1"/>
  <c r="J177" i="1"/>
  <c r="J185" i="1"/>
  <c r="J193" i="1"/>
  <c r="J201" i="1"/>
  <c r="J209" i="1"/>
  <c r="J217" i="1"/>
  <c r="J205" i="1"/>
  <c r="J146" i="1"/>
  <c r="J170" i="1"/>
  <c r="J202" i="1"/>
  <c r="J163" i="1"/>
  <c r="J187" i="1"/>
  <c r="J219" i="1"/>
  <c r="J156" i="1"/>
  <c r="J180" i="1"/>
  <c r="J196" i="1"/>
  <c r="J154" i="1"/>
  <c r="J162" i="1"/>
  <c r="J186" i="1"/>
  <c r="J218" i="1"/>
  <c r="J155" i="1"/>
  <c r="J179" i="1"/>
  <c r="J211" i="1"/>
  <c r="J148" i="1"/>
  <c r="J172" i="1"/>
  <c r="J188" i="1"/>
  <c r="J212" i="1"/>
  <c r="J178" i="1"/>
  <c r="J194" i="1"/>
  <c r="J210" i="1"/>
  <c r="J147" i="1"/>
  <c r="J171" i="1"/>
  <c r="J195" i="1"/>
  <c r="J203" i="1"/>
  <c r="J164" i="1"/>
  <c r="J204" i="1"/>
  <c r="J16" i="1"/>
  <c r="I41" i="1"/>
  <c r="J41" i="1" s="1"/>
  <c r="I43" i="1"/>
  <c r="I39" i="1"/>
  <c r="J39" i="1" s="1"/>
  <c r="I8" i="1"/>
  <c r="I42" i="1"/>
  <c r="J42" i="1" s="1"/>
  <c r="I29" i="1"/>
  <c r="I19" i="1"/>
  <c r="I45" i="1"/>
  <c r="I18" i="1"/>
  <c r="J18" i="1" s="1"/>
  <c r="I112" i="1"/>
  <c r="I2" i="1"/>
  <c r="I30" i="1"/>
  <c r="I27" i="1"/>
  <c r="I7" i="1"/>
  <c r="I9" i="1"/>
  <c r="J9" i="1" s="1"/>
  <c r="I38" i="1"/>
  <c r="I11" i="1"/>
  <c r="I23" i="1"/>
  <c r="I28" i="1"/>
  <c r="I109" i="1"/>
  <c r="I49" i="1"/>
  <c r="I10" i="1"/>
  <c r="J10" i="1" s="1"/>
  <c r="I108" i="1"/>
  <c r="J108" i="1" s="1"/>
  <c r="I93" i="1"/>
  <c r="J93" i="1" s="1"/>
  <c r="I85" i="1"/>
  <c r="J85" i="1" s="1"/>
  <c r="I80" i="1"/>
  <c r="J80" i="1" s="1"/>
  <c r="I75" i="1"/>
  <c r="J75" i="1" s="1"/>
  <c r="I64" i="1"/>
  <c r="J64" i="1" s="1"/>
  <c r="I55" i="1"/>
  <c r="J55" i="1" s="1"/>
  <c r="I48" i="1"/>
  <c r="J48" i="1" s="1"/>
  <c r="I40" i="1"/>
  <c r="J40" i="1" s="1"/>
  <c r="I6" i="1"/>
  <c r="I107" i="1"/>
  <c r="J107" i="1" s="1"/>
  <c r="I100" i="1"/>
  <c r="I92" i="1"/>
  <c r="I79" i="1"/>
  <c r="J79" i="1" s="1"/>
  <c r="I74" i="1"/>
  <c r="J74" i="1" s="1"/>
  <c r="I69" i="1"/>
  <c r="I4" i="1"/>
  <c r="J4" i="1" s="1"/>
  <c r="I54" i="1"/>
  <c r="I47" i="1"/>
  <c r="I44" i="1"/>
  <c r="I17" i="1"/>
  <c r="I14" i="1"/>
  <c r="I12" i="1"/>
  <c r="I22" i="1"/>
  <c r="J22" i="1" s="1"/>
  <c r="I24" i="1"/>
  <c r="J24" i="1" s="1"/>
  <c r="I65" i="1"/>
  <c r="J65" i="1" s="1"/>
  <c r="I106" i="1"/>
  <c r="J106" i="1" s="1"/>
  <c r="I99" i="1"/>
  <c r="I91" i="1"/>
  <c r="J91" i="1" s="1"/>
  <c r="I84" i="1"/>
  <c r="J84" i="1" s="1"/>
  <c r="I78" i="1"/>
  <c r="I73" i="1"/>
  <c r="J73" i="1" s="1"/>
  <c r="I63" i="1"/>
  <c r="J63" i="1" s="1"/>
  <c r="I53" i="1"/>
  <c r="I46" i="1"/>
  <c r="J46" i="1" s="1"/>
  <c r="I35" i="1"/>
  <c r="J35" i="1" s="1"/>
  <c r="I32" i="1"/>
  <c r="J32" i="1" s="1"/>
  <c r="I86" i="1"/>
  <c r="J86" i="1" s="1"/>
  <c r="I105" i="1"/>
  <c r="I98" i="1"/>
  <c r="I90" i="1"/>
  <c r="I83" i="1"/>
  <c r="J83" i="1" s="1"/>
  <c r="I77" i="1"/>
  <c r="J77" i="1" s="1"/>
  <c r="I72" i="1"/>
  <c r="I68" i="1"/>
  <c r="I62" i="1"/>
  <c r="J62" i="1" s="1"/>
  <c r="I59" i="1"/>
  <c r="I52" i="1"/>
  <c r="I94" i="1"/>
  <c r="J94" i="1" s="1"/>
  <c r="I70" i="1"/>
  <c r="I26" i="1"/>
  <c r="I111" i="1"/>
  <c r="J111" i="1" s="1"/>
  <c r="I104" i="1"/>
  <c r="I97" i="1"/>
  <c r="J97" i="1" s="1"/>
  <c r="I89" i="1"/>
  <c r="I71" i="1"/>
  <c r="J71" i="1" s="1"/>
  <c r="I67" i="1"/>
  <c r="I51" i="1"/>
  <c r="I21" i="1"/>
  <c r="I31" i="1"/>
  <c r="J31" i="1" s="1"/>
  <c r="I13" i="1"/>
  <c r="J13" i="1" s="1"/>
  <c r="I101" i="1"/>
  <c r="J101" i="1" s="1"/>
  <c r="I56" i="1"/>
  <c r="I34" i="1"/>
  <c r="I15" i="1"/>
  <c r="I103" i="1"/>
  <c r="I96" i="1"/>
  <c r="I88" i="1"/>
  <c r="I82" i="1"/>
  <c r="J82" i="1" s="1"/>
  <c r="I36" i="1"/>
  <c r="I61" i="1"/>
  <c r="I58" i="1"/>
  <c r="I3" i="1"/>
  <c r="I20" i="1"/>
  <c r="I33" i="1"/>
  <c r="J33" i="1" s="1"/>
  <c r="I25" i="1"/>
  <c r="J25" i="1" s="1"/>
  <c r="I76" i="1"/>
  <c r="J76" i="1" s="1"/>
  <c r="I110" i="1"/>
  <c r="J110" i="1" s="1"/>
  <c r="I102" i="1"/>
  <c r="J102" i="1" s="1"/>
  <c r="I95" i="1"/>
  <c r="J95" i="1" s="1"/>
  <c r="I87" i="1"/>
  <c r="J87" i="1" s="1"/>
  <c r="I81" i="1"/>
  <c r="I37" i="1"/>
  <c r="J37" i="1" s="1"/>
  <c r="I66" i="1"/>
  <c r="J66" i="1" s="1"/>
  <c r="I60" i="1"/>
  <c r="I57" i="1"/>
  <c r="I50" i="1"/>
  <c r="I5" i="1"/>
  <c r="J5" i="1" s="1"/>
  <c r="J11" i="1" l="1"/>
  <c r="J12" i="1"/>
  <c r="J90" i="1"/>
  <c r="J50" i="1"/>
  <c r="J69" i="1"/>
  <c r="J104" i="1"/>
  <c r="J54" i="1"/>
  <c r="J88" i="1"/>
  <c r="J70" i="1"/>
  <c r="J92" i="1"/>
  <c r="J99" i="1"/>
  <c r="J6" i="1"/>
  <c r="J57" i="1"/>
  <c r="J78" i="1"/>
  <c r="J27" i="1"/>
  <c r="J58" i="1"/>
  <c r="J100" i="1"/>
  <c r="J29" i="1"/>
  <c r="J34" i="1"/>
  <c r="J51" i="1"/>
  <c r="J43" i="1"/>
  <c r="J53" i="1"/>
  <c r="J8" i="1"/>
  <c r="J15" i="1"/>
  <c r="J59" i="1"/>
  <c r="J105" i="1"/>
  <c r="J56" i="1"/>
  <c r="J30" i="1"/>
  <c r="J61" i="1"/>
  <c r="J17" i="1"/>
  <c r="J47" i="1"/>
  <c r="J26" i="1"/>
  <c r="J3" i="1"/>
  <c r="J21" i="1"/>
  <c r="J14" i="1"/>
  <c r="J60" i="1"/>
  <c r="J103" i="1"/>
  <c r="J44" i="1"/>
  <c r="J81" i="1"/>
  <c r="J45" i="1"/>
  <c r="J49" i="1"/>
  <c r="J67" i="1"/>
  <c r="J109" i="1"/>
  <c r="J96" i="1"/>
  <c r="J36" i="1"/>
  <c r="J2" i="1"/>
  <c r="J20" i="1"/>
  <c r="J72" i="1"/>
  <c r="J89" i="1"/>
  <c r="J98" i="1"/>
  <c r="J52" i="1"/>
  <c r="J68" i="1"/>
  <c r="J112" i="1"/>
  <c r="J38" i="1"/>
  <c r="J7" i="1"/>
  <c r="J28" i="1"/>
  <c r="J19" i="1"/>
  <c r="J23" i="1"/>
  <c r="I132" i="1" l="1"/>
  <c r="I127" i="1"/>
  <c r="I131" i="1"/>
  <c r="I125" i="1"/>
  <c r="I118" i="1"/>
  <c r="I128" i="1"/>
  <c r="I119" i="1"/>
  <c r="I129" i="1"/>
  <c r="I115" i="1"/>
  <c r="I113" i="1"/>
  <c r="I136" i="1"/>
  <c r="I122" i="1"/>
  <c r="I138" i="1"/>
  <c r="I124" i="1"/>
  <c r="I135" i="1"/>
  <c r="I121" i="1"/>
  <c r="I120" i="1"/>
  <c r="I116" i="1"/>
  <c r="I139" i="1"/>
  <c r="I130" i="1"/>
  <c r="I114" i="1"/>
  <c r="I137" i="1"/>
  <c r="I133" i="1"/>
  <c r="I123" i="1"/>
  <c r="I117" i="1"/>
  <c r="I141" i="1"/>
  <c r="I140" i="1"/>
  <c r="I126" i="1"/>
  <c r="I134" i="1"/>
  <c r="J126" i="1" l="1"/>
  <c r="J131" i="1"/>
  <c r="J114" i="1"/>
  <c r="J140" i="1"/>
  <c r="J134" i="1"/>
  <c r="J118" i="1"/>
  <c r="J133" i="1"/>
  <c r="J120" i="1"/>
  <c r="J115" i="1"/>
  <c r="J121" i="1"/>
  <c r="J135" i="1"/>
  <c r="J125" i="1"/>
  <c r="J119" i="1"/>
  <c r="J137" i="1"/>
  <c r="J113" i="1"/>
  <c r="J122" i="1"/>
  <c r="J129" i="1"/>
  <c r="J130" i="1"/>
  <c r="J138" i="1"/>
  <c r="J117" i="1"/>
  <c r="J123" i="1"/>
  <c r="J136" i="1"/>
  <c r="J139" i="1"/>
  <c r="J128" i="1"/>
  <c r="J127" i="1"/>
  <c r="J132" i="1"/>
  <c r="J116" i="1"/>
  <c r="J124" i="1"/>
  <c r="J141" i="1"/>
</calcChain>
</file>

<file path=xl/sharedStrings.xml><?xml version="1.0" encoding="utf-8"?>
<sst xmlns="http://schemas.openxmlformats.org/spreadsheetml/2006/main" count="715" uniqueCount="715">
  <si>
    <t>Product ID</t>
  </si>
  <si>
    <t>Base Price</t>
  </si>
  <si>
    <t>Gross Sales Price</t>
  </si>
  <si>
    <t>Net Sales Price</t>
  </si>
  <si>
    <t xml:space="preserve">Total Selling Costs
	</t>
  </si>
  <si>
    <t>Fixed Costs</t>
  </si>
  <si>
    <t>DHL Costs</t>
  </si>
  <si>
    <t>Handling Costs</t>
  </si>
  <si>
    <t>Variable Costs</t>
  </si>
  <si>
    <t>Unit Profit</t>
  </si>
  <si>
    <t>P0024</t>
  </si>
  <si>
    <t>P0038</t>
  </si>
  <si>
    <t>P0013</t>
  </si>
  <si>
    <t>P0004</t>
  </si>
  <si>
    <t>P0035</t>
  </si>
  <si>
    <t>P0031</t>
  </si>
  <si>
    <t>P0003</t>
  </si>
  <si>
    <t>P0025</t>
  </si>
  <si>
    <t>P0037</t>
  </si>
  <si>
    <t>P0014</t>
  </si>
  <si>
    <t>P0042</t>
  </si>
  <si>
    <t>P0044</t>
  </si>
  <si>
    <t>P0023</t>
  </si>
  <si>
    <t>P0034</t>
  </si>
  <si>
    <t>P0020</t>
  </si>
  <si>
    <t>P0006</t>
  </si>
  <si>
    <t>P0001</t>
  </si>
  <si>
    <t>P0040</t>
  </si>
  <si>
    <t>P0032</t>
  </si>
  <si>
    <t>P0029</t>
  </si>
  <si>
    <t>P0010</t>
  </si>
  <si>
    <t>P0016</t>
  </si>
  <si>
    <t>P0022</t>
  </si>
  <si>
    <t>P0043</t>
  </si>
  <si>
    <t>P0005</t>
  </si>
  <si>
    <t>P0008</t>
  </si>
  <si>
    <t>P0027</t>
  </si>
  <si>
    <t>P0015</t>
  </si>
  <si>
    <t>P0030</t>
  </si>
  <si>
    <t>P0002</t>
  </si>
  <si>
    <t>P0018</t>
  </si>
  <si>
    <t>P0011</t>
  </si>
  <si>
    <t>P0021</t>
  </si>
  <si>
    <t>P0028</t>
  </si>
  <si>
    <t>P0039</t>
  </si>
  <si>
    <t>P0012</t>
  </si>
  <si>
    <t>P0007</t>
  </si>
  <si>
    <t>P0009</t>
  </si>
  <si>
    <t>P0033</t>
  </si>
  <si>
    <t>P0017</t>
  </si>
  <si>
    <t>P0019</t>
  </si>
  <si>
    <t>P0041</t>
  </si>
  <si>
    <t>P0026</t>
  </si>
  <si>
    <t>P0036</t>
  </si>
  <si>
    <t>P7366</t>
  </si>
  <si>
    <t>P3824</t>
  </si>
  <si>
    <t>P6995</t>
  </si>
  <si>
    <t>P1476</t>
  </si>
  <si>
    <t>P8196</t>
  </si>
  <si>
    <t>P3105</t>
  </si>
  <si>
    <t>P4827</t>
  </si>
  <si>
    <t>P9701</t>
  </si>
  <si>
    <t>P8231</t>
  </si>
  <si>
    <t>P8108</t>
  </si>
  <si>
    <t>P7613</t>
  </si>
  <si>
    <t>P1458</t>
  </si>
  <si>
    <t>P8956</t>
  </si>
  <si>
    <t>P3591</t>
  </si>
  <si>
    <t>P6832</t>
  </si>
  <si>
    <t>P5487</t>
  </si>
  <si>
    <t>P0872</t>
  </si>
  <si>
    <t>P3451</t>
  </si>
  <si>
    <t>P2102</t>
  </si>
  <si>
    <t>P8680</t>
  </si>
  <si>
    <t>P0164</t>
  </si>
  <si>
    <t>P4063</t>
  </si>
  <si>
    <t>P8977</t>
  </si>
  <si>
    <t>P1711</t>
  </si>
  <si>
    <t>P1871</t>
  </si>
  <si>
    <t>P0481</t>
  </si>
  <si>
    <t>P2428</t>
  </si>
  <si>
    <t>P1372</t>
  </si>
  <si>
    <t>P2047</t>
  </si>
  <si>
    <t>P5650</t>
  </si>
  <si>
    <t>P1793</t>
  </si>
  <si>
    <t>P8616</t>
  </si>
  <si>
    <t>P1416</t>
  </si>
  <si>
    <t>P8249</t>
  </si>
  <si>
    <t>P0880</t>
  </si>
  <si>
    <t>P6009</t>
  </si>
  <si>
    <t>P0404</t>
  </si>
  <si>
    <t>P5761</t>
  </si>
  <si>
    <t>P2687</t>
  </si>
  <si>
    <t>P6563</t>
  </si>
  <si>
    <t>P3721</t>
  </si>
  <si>
    <t>P3945</t>
  </si>
  <si>
    <t>P0457</t>
  </si>
  <si>
    <t>P8061</t>
  </si>
  <si>
    <t>P2230</t>
  </si>
  <si>
    <t>P6181</t>
  </si>
  <si>
    <t>P7662</t>
  </si>
  <si>
    <t>P6735</t>
  </si>
  <si>
    <t>P2728</t>
  </si>
  <si>
    <t>P1431</t>
  </si>
  <si>
    <t>P3006</t>
  </si>
  <si>
    <t>P9553</t>
  </si>
  <si>
    <t>P8146</t>
  </si>
  <si>
    <t>P0371</t>
  </si>
  <si>
    <t>P7717</t>
  </si>
  <si>
    <t>P0695</t>
  </si>
  <si>
    <t>P6801</t>
  </si>
  <si>
    <t>P4472</t>
  </si>
  <si>
    <t>P2439</t>
  </si>
  <si>
    <t>P3317</t>
  </si>
  <si>
    <t>P4795</t>
  </si>
  <si>
    <t>P6467</t>
  </si>
  <si>
    <t>P9572</t>
  </si>
  <si>
    <t>P2006</t>
  </si>
  <si>
    <t>P4456</t>
  </si>
  <si>
    <t>P9598</t>
  </si>
  <si>
    <t>P3011</t>
  </si>
  <si>
    <t>P6059</t>
  </si>
  <si>
    <t>P5700</t>
  </si>
  <si>
    <t>P0649</t>
  </si>
  <si>
    <t>P7099</t>
  </si>
  <si>
    <t>P6821</t>
  </si>
  <si>
    <t>P5146</t>
  </si>
  <si>
    <t>P5708</t>
  </si>
  <si>
    <t>P5022</t>
  </si>
  <si>
    <t>P8750</t>
  </si>
  <si>
    <t>P8818</t>
  </si>
  <si>
    <t>P2382</t>
  </si>
  <si>
    <t>P3330</t>
  </si>
  <si>
    <t>P5654</t>
  </si>
  <si>
    <t>P9338</t>
  </si>
  <si>
    <t>P2284</t>
  </si>
  <si>
    <t>P6842</t>
  </si>
  <si>
    <t>P4176</t>
  </si>
  <si>
    <t>P2249</t>
  </si>
  <si>
    <t>P4858</t>
  </si>
  <si>
    <t>P7682</t>
  </si>
  <si>
    <t>P5403</t>
  </si>
  <si>
    <t>P6215</t>
  </si>
  <si>
    <t>P6190</t>
  </si>
  <si>
    <t>P4798</t>
  </si>
  <si>
    <t>P9442</t>
  </si>
  <si>
    <t>P8989</t>
  </si>
  <si>
    <t>P5248</t>
  </si>
  <si>
    <t>P6080</t>
  </si>
  <si>
    <t>P2706</t>
  </si>
  <si>
    <t>P1494</t>
  </si>
  <si>
    <t>P4249</t>
  </si>
  <si>
    <t>P5983</t>
  </si>
  <si>
    <t>P8230</t>
  </si>
  <si>
    <t>P9584</t>
  </si>
  <si>
    <t>P3302</t>
  </si>
  <si>
    <t>P0598</t>
  </si>
  <si>
    <t>P3558</t>
  </si>
  <si>
    <t>P4643</t>
  </si>
  <si>
    <t>P5655</t>
  </si>
  <si>
    <t>P7072</t>
  </si>
  <si>
    <t>P3333</t>
  </si>
  <si>
    <t>P8113</t>
  </si>
  <si>
    <t>P8037</t>
  </si>
  <si>
    <t>P6252</t>
  </si>
  <si>
    <t>P7212</t>
  </si>
  <si>
    <t>P4135</t>
  </si>
  <si>
    <t>P8497</t>
  </si>
  <si>
    <t>P3579</t>
  </si>
  <si>
    <t>P4782</t>
  </si>
  <si>
    <t>P6594</t>
  </si>
  <si>
    <t>P4772</t>
  </si>
  <si>
    <t>P0966</t>
  </si>
  <si>
    <t>P7018</t>
  </si>
  <si>
    <t>P9294</t>
  </si>
  <si>
    <t>P8670</t>
  </si>
  <si>
    <t>P2469</t>
  </si>
  <si>
    <t>P3117</t>
  </si>
  <si>
    <t>P6678</t>
  </si>
  <si>
    <t>P3563</t>
  </si>
  <si>
    <t>P0668</t>
  </si>
  <si>
    <t>P1948</t>
  </si>
  <si>
    <t>P1720</t>
  </si>
  <si>
    <t>P8514</t>
  </si>
  <si>
    <t>P0060</t>
  </si>
  <si>
    <t>P5352</t>
  </si>
  <si>
    <t>P4483</t>
  </si>
  <si>
    <t>P0190</t>
  </si>
  <si>
    <t>P2677</t>
  </si>
  <si>
    <t>P6529</t>
  </si>
  <si>
    <t>P3811</t>
  </si>
  <si>
    <t>P0430</t>
  </si>
  <si>
    <t>P4301</t>
  </si>
  <si>
    <t>P3583</t>
  </si>
  <si>
    <t>P5008</t>
  </si>
  <si>
    <t>P7373</t>
  </si>
  <si>
    <t>P2334</t>
  </si>
  <si>
    <t>P3990</t>
  </si>
  <si>
    <t>P9939</t>
  </si>
  <si>
    <t>P1626</t>
  </si>
  <si>
    <t>P2899</t>
  </si>
  <si>
    <t>P9432</t>
  </si>
  <si>
    <t>P7453</t>
  </si>
  <si>
    <t>P6843</t>
  </si>
  <si>
    <t>P3100</t>
  </si>
  <si>
    <t>P8898</t>
  </si>
  <si>
    <t>P5711</t>
  </si>
  <si>
    <t>P3915</t>
  </si>
  <si>
    <t>P2661</t>
  </si>
  <si>
    <t>P3562</t>
  </si>
  <si>
    <t>P3355</t>
  </si>
  <si>
    <t>P0988</t>
  </si>
  <si>
    <t>P4413</t>
  </si>
  <si>
    <t>P7109</t>
  </si>
  <si>
    <t>P4934</t>
  </si>
  <si>
    <t>P9650</t>
  </si>
  <si>
    <t>P5173</t>
  </si>
  <si>
    <t>P8318</t>
  </si>
  <si>
    <t>P9649</t>
  </si>
  <si>
    <t>P8122</t>
  </si>
  <si>
    <t>P1803</t>
  </si>
  <si>
    <t>P0874</t>
  </si>
  <si>
    <t>P3955</t>
  </si>
  <si>
    <t>P6790</t>
  </si>
  <si>
    <t>P1896</t>
  </si>
  <si>
    <t>P4077</t>
  </si>
  <si>
    <t>P6539</t>
  </si>
  <si>
    <t>P3541</t>
  </si>
  <si>
    <t>P3704</t>
  </si>
  <si>
    <t>P7946</t>
  </si>
  <si>
    <t>P4033</t>
  </si>
  <si>
    <t>P9290</t>
  </si>
  <si>
    <t>P3812</t>
  </si>
  <si>
    <t>P8709</t>
  </si>
  <si>
    <t>P7834</t>
  </si>
  <si>
    <t>P7990</t>
  </si>
  <si>
    <t>P1523</t>
  </si>
  <si>
    <t>P2989</t>
  </si>
  <si>
    <t>P8071</t>
  </si>
  <si>
    <t>P2642</t>
  </si>
  <si>
    <t>P7193</t>
  </si>
  <si>
    <t>P7924</t>
  </si>
  <si>
    <t>P3730</t>
  </si>
  <si>
    <t>P5678</t>
  </si>
  <si>
    <t>P8810</t>
  </si>
  <si>
    <t>P6554</t>
  </si>
  <si>
    <t>P7211</t>
  </si>
  <si>
    <t>P2121</t>
  </si>
  <si>
    <t>P5485</t>
  </si>
  <si>
    <t>P4146</t>
  </si>
  <si>
    <t>P4377</t>
  </si>
  <si>
    <t>P8160</t>
  </si>
  <si>
    <t>P6581</t>
  </si>
  <si>
    <t>P9628</t>
  </si>
  <si>
    <t>P1999</t>
  </si>
  <si>
    <t>P8075</t>
  </si>
  <si>
    <t>P0465</t>
  </si>
  <si>
    <t>P3428</t>
  </si>
  <si>
    <t>P0804</t>
  </si>
  <si>
    <t>P2837</t>
  </si>
  <si>
    <t>P9152</t>
  </si>
  <si>
    <t>P4071</t>
  </si>
  <si>
    <t>P6289</t>
  </si>
  <si>
    <t>P1340</t>
  </si>
  <si>
    <t>P7625</t>
  </si>
  <si>
    <t>P3198</t>
  </si>
  <si>
    <t>P5046</t>
  </si>
  <si>
    <t>P8731</t>
  </si>
  <si>
    <t>P2460</t>
  </si>
  <si>
    <t>P5902</t>
  </si>
  <si>
    <t>P7384</t>
  </si>
  <si>
    <t>P1169</t>
  </si>
  <si>
    <t>P8507</t>
  </si>
  <si>
    <t>P4623</t>
  </si>
  <si>
    <t>P2981</t>
  </si>
  <si>
    <t>P7094</t>
  </si>
  <si>
    <t>P5318</t>
  </si>
  <si>
    <t>P1846</t>
  </si>
  <si>
    <t>P9270</t>
  </si>
  <si>
    <t>P6403</t>
  </si>
  <si>
    <t>P2517</t>
  </si>
  <si>
    <t>P8439</t>
  </si>
  <si>
    <t>P1752</t>
  </si>
  <si>
    <t>P9238</t>
  </si>
  <si>
    <t>P3891</t>
  </si>
  <si>
    <t>P7065</t>
  </si>
  <si>
    <t>P5124</t>
  </si>
  <si>
    <t>P3608</t>
  </si>
  <si>
    <t>P8201</t>
  </si>
  <si>
    <t>P1486</t>
  </si>
  <si>
    <t>P4763</t>
  </si>
  <si>
    <t>P2850</t>
  </si>
  <si>
    <t>P9076</t>
  </si>
  <si>
    <t>P6571</t>
  </si>
  <si>
    <t>P3642</t>
  </si>
  <si>
    <t>P8119</t>
  </si>
  <si>
    <t>P2054</t>
  </si>
  <si>
    <t>P7138</t>
  </si>
  <si>
    <t>P9217</t>
  </si>
  <si>
    <t>P3586</t>
  </si>
  <si>
    <t>P6420</t>
  </si>
  <si>
    <t>P4385</t>
  </si>
  <si>
    <t>P1764</t>
  </si>
  <si>
    <t>P7490</t>
  </si>
  <si>
    <t>P5291</t>
  </si>
  <si>
    <t>P9705</t>
  </si>
  <si>
    <t>P6312</t>
  </si>
  <si>
    <t>P2479</t>
  </si>
  <si>
    <t>P4836</t>
  </si>
  <si>
    <t>P2583</t>
  </si>
  <si>
    <t>P9025</t>
  </si>
  <si>
    <t>P6482</t>
  </si>
  <si>
    <t>P5074</t>
  </si>
  <si>
    <t>P8326</t>
  </si>
  <si>
    <t>P7813</t>
  </si>
  <si>
    <t>P4732</t>
  </si>
  <si>
    <t>P1908</t>
  </si>
  <si>
    <t>P9564</t>
  </si>
  <si>
    <t>P3710</t>
  </si>
  <si>
    <t>P2647</t>
  </si>
  <si>
    <t>P8039</t>
  </si>
  <si>
    <t>P9251</t>
  </si>
  <si>
    <t>P3982</t>
  </si>
  <si>
    <t>P1750</t>
  </si>
  <si>
    <t>P2806</t>
  </si>
  <si>
    <t>P6874</t>
  </si>
  <si>
    <t>P9437</t>
  </si>
  <si>
    <t>P5279</t>
  </si>
  <si>
    <t>P7392</t>
  </si>
  <si>
    <t>P3815</t>
  </si>
  <si>
    <t>P2194</t>
  </si>
  <si>
    <t>P1057</t>
  </si>
  <si>
    <t>P3621</t>
  </si>
  <si>
    <t>P8906</t>
  </si>
  <si>
    <t>P6840</t>
  </si>
  <si>
    <t>P3185</t>
  </si>
  <si>
    <t>P7082</t>
  </si>
  <si>
    <t>P2597</t>
  </si>
  <si>
    <t>P4968</t>
  </si>
  <si>
    <t>P8641</t>
  </si>
  <si>
    <t>P2048</t>
  </si>
  <si>
    <t>P9415</t>
  </si>
  <si>
    <t>P5127</t>
  </si>
  <si>
    <t>P7069</t>
  </si>
  <si>
    <t>P9374</t>
  </si>
  <si>
    <t>P5613</t>
  </si>
  <si>
    <t>P3082</t>
  </si>
  <si>
    <t>P7135</t>
  </si>
  <si>
    <t>P4780</t>
  </si>
  <si>
    <t>P1307</t>
  </si>
  <si>
    <t>P8592</t>
  </si>
  <si>
    <t>P6470</t>
  </si>
  <si>
    <t>P2946</t>
  </si>
  <si>
    <t>P5032</t>
  </si>
  <si>
    <t>P2716</t>
  </si>
  <si>
    <t>P6893</t>
  </si>
  <si>
    <t>P7408</t>
  </si>
  <si>
    <t>P8629</t>
  </si>
  <si>
    <t>P3194</t>
  </si>
  <si>
    <t>P6721</t>
  </si>
  <si>
    <t>P5089</t>
  </si>
  <si>
    <t>P2197</t>
  </si>
  <si>
    <t>P1942</t>
  </si>
  <si>
    <t>P8361</t>
  </si>
  <si>
    <t>P4073</t>
  </si>
  <si>
    <t>P6982</t>
  </si>
  <si>
    <t>P5297</t>
  </si>
  <si>
    <t>P9824</t>
  </si>
  <si>
    <t>P3712</t>
  </si>
  <si>
    <t>P4530</t>
  </si>
  <si>
    <t>P2879</t>
  </si>
  <si>
    <t>P8253</t>
  </si>
  <si>
    <t>P9617</t>
  </si>
  <si>
    <t>P7098</t>
  </si>
  <si>
    <t>P8420</t>
  </si>
  <si>
    <t>P6325</t>
  </si>
  <si>
    <t>P5748</t>
  </si>
  <si>
    <t>P9403</t>
  </si>
  <si>
    <t>P1925</t>
  </si>
  <si>
    <t>P8391</t>
  </si>
  <si>
    <t>P2953</t>
  </si>
  <si>
    <t>P4839</t>
  </si>
  <si>
    <t>P5781</t>
  </si>
  <si>
    <t>P1043</t>
  </si>
  <si>
    <t>P7248</t>
  </si>
  <si>
    <t>P9385</t>
  </si>
  <si>
    <t>P5720</t>
  </si>
  <si>
    <t>P7305</t>
  </si>
  <si>
    <t>P2457</t>
  </si>
  <si>
    <t>P6921</t>
  </si>
  <si>
    <t>P1432</t>
  </si>
  <si>
    <t>P4015</t>
  </si>
  <si>
    <t>P7206</t>
  </si>
  <si>
    <t>P5987</t>
  </si>
  <si>
    <t>P8450</t>
  </si>
  <si>
    <t>P1763</t>
  </si>
  <si>
    <t>P9537</t>
  </si>
  <si>
    <t>P4862</t>
  </si>
  <si>
    <t>P2173</t>
  </si>
  <si>
    <t>P6287</t>
  </si>
  <si>
    <t>P5309</t>
  </si>
  <si>
    <t>P8401</t>
  </si>
  <si>
    <t>P9273</t>
  </si>
  <si>
    <t>P5964</t>
  </si>
  <si>
    <t>P4629</t>
  </si>
  <si>
    <t>P2184</t>
  </si>
  <si>
    <t>P3542</t>
  </si>
  <si>
    <t>P7890</t>
  </si>
  <si>
    <t>P3176</t>
  </si>
  <si>
    <t>P5431</t>
  </si>
  <si>
    <t>P8024</t>
  </si>
  <si>
    <t>P3746</t>
  </si>
  <si>
    <t>P9278</t>
  </si>
  <si>
    <t>P6489</t>
  </si>
  <si>
    <t>P4105</t>
  </si>
  <si>
    <t>P6871</t>
  </si>
  <si>
    <t>P1368</t>
  </si>
  <si>
    <t>P2438</t>
  </si>
  <si>
    <t>P9183</t>
  </si>
  <si>
    <t>P7416</t>
  </si>
  <si>
    <t>P8250</t>
  </si>
  <si>
    <t>P5071</t>
  </si>
  <si>
    <t>P1304</t>
  </si>
  <si>
    <t>P5872</t>
  </si>
  <si>
    <t>P2719</t>
  </si>
  <si>
    <t>P9082</t>
  </si>
  <si>
    <t>P4957</t>
  </si>
  <si>
    <t>P6142</t>
  </si>
  <si>
    <t>P7402</t>
  </si>
  <si>
    <t>P5863</t>
  </si>
  <si>
    <t>P7591</t>
  </si>
  <si>
    <t>P9280</t>
  </si>
  <si>
    <t>P6935</t>
  </si>
  <si>
    <t>P3702</t>
  </si>
  <si>
    <t>P3182</t>
  </si>
  <si>
    <t>P9065</t>
  </si>
  <si>
    <t>P4203</t>
  </si>
  <si>
    <t>P8317</t>
  </si>
  <si>
    <t>P4793</t>
  </si>
  <si>
    <t>P5912</t>
  </si>
  <si>
    <t>P2564</t>
  </si>
  <si>
    <t>P8916</t>
  </si>
  <si>
    <t>P3527</t>
  </si>
  <si>
    <t>P9381</t>
  </si>
  <si>
    <t>P5762</t>
  </si>
  <si>
    <t>P2856</t>
  </si>
  <si>
    <t>P7369</t>
  </si>
  <si>
    <t>P4061</t>
  </si>
  <si>
    <t>P7925</t>
  </si>
  <si>
    <t>P4035</t>
  </si>
  <si>
    <t>P5634</t>
  </si>
  <si>
    <t>P8130</t>
  </si>
  <si>
    <t>P1964</t>
  </si>
  <si>
    <t>P6083</t>
  </si>
  <si>
    <t>P2759</t>
  </si>
  <si>
    <t>P3426</t>
  </si>
  <si>
    <t>P8613</t>
  </si>
  <si>
    <t>P5960</t>
  </si>
  <si>
    <t>P1497</t>
  </si>
  <si>
    <t>P7852</t>
  </si>
  <si>
    <t>P4601</t>
  </si>
  <si>
    <t>P2176</t>
  </si>
  <si>
    <t>P9029</t>
  </si>
  <si>
    <t>P3041</t>
  </si>
  <si>
    <t>P4768</t>
  </si>
  <si>
    <t>P3701</t>
  </si>
  <si>
    <t>P1928</t>
  </si>
  <si>
    <t>P9346</t>
  </si>
  <si>
    <t>P6812</t>
  </si>
  <si>
    <t>P9532</t>
  </si>
  <si>
    <t>P1725</t>
  </si>
  <si>
    <t>P5483</t>
  </si>
  <si>
    <t>P6102</t>
  </si>
  <si>
    <t>P7345</t>
  </si>
  <si>
    <t>P2157</t>
  </si>
  <si>
    <t>P7840</t>
  </si>
  <si>
    <t>P6924</t>
  </si>
  <si>
    <t>P4065</t>
  </si>
  <si>
    <t>P5179</t>
  </si>
  <si>
    <t>P1875</t>
  </si>
  <si>
    <t>P9527</t>
  </si>
  <si>
    <t>P6293</t>
  </si>
  <si>
    <t>P5984</t>
  </si>
  <si>
    <t>P8372</t>
  </si>
  <si>
    <t>P7318</t>
  </si>
  <si>
    <t>P6154</t>
  </si>
  <si>
    <t>P5803</t>
  </si>
  <si>
    <t>P5098</t>
  </si>
  <si>
    <t>P2784</t>
  </si>
  <si>
    <t>P8610</t>
  </si>
  <si>
    <t>P5926</t>
  </si>
  <si>
    <t>P3179</t>
  </si>
  <si>
    <t>P4938</t>
  </si>
  <si>
    <t>P8569</t>
  </si>
  <si>
    <t>P2046</t>
  </si>
  <si>
    <t>P7961</t>
  </si>
  <si>
    <t>P2453</t>
  </si>
  <si>
    <t>P3971</t>
  </si>
  <si>
    <t>P7386</t>
  </si>
  <si>
    <t>P3108</t>
  </si>
  <si>
    <t>P4825</t>
  </si>
  <si>
    <t>P2610</t>
  </si>
  <si>
    <t>P8475</t>
  </si>
  <si>
    <t>P1976</t>
  </si>
  <si>
    <t>P5263</t>
  </si>
  <si>
    <t>P3897</t>
  </si>
  <si>
    <t>P6984</t>
  </si>
  <si>
    <t>P8713</t>
  </si>
  <si>
    <t>P5036</t>
  </si>
  <si>
    <t>P1278</t>
  </si>
  <si>
    <t>P4864</t>
  </si>
  <si>
    <t>P5294</t>
  </si>
  <si>
    <t>P3102</t>
  </si>
  <si>
    <t>P8953</t>
  </si>
  <si>
    <t>P6207</t>
  </si>
  <si>
    <t>P4193</t>
  </si>
  <si>
    <t>P8379</t>
  </si>
  <si>
    <t>P6754</t>
  </si>
  <si>
    <t>P5298</t>
  </si>
  <si>
    <t>P4765</t>
  </si>
  <si>
    <t>P9142</t>
  </si>
  <si>
    <t>P7856</t>
  </si>
  <si>
    <t>P8321</t>
  </si>
  <si>
    <t>P4923</t>
  </si>
  <si>
    <t>P7241</t>
  </si>
  <si>
    <t>P5861</t>
  </si>
  <si>
    <t>P6904</t>
  </si>
  <si>
    <t>P3718</t>
  </si>
  <si>
    <t>P9243</t>
  </si>
  <si>
    <t>P1308</t>
  </si>
  <si>
    <t>P3985</t>
  </si>
  <si>
    <t>P5674</t>
  </si>
  <si>
    <t>P7951</t>
  </si>
  <si>
    <t>P3649</t>
  </si>
  <si>
    <t>P5407</t>
  </si>
  <si>
    <t>P3802</t>
  </si>
  <si>
    <t>P7204</t>
  </si>
  <si>
    <t>P6314</t>
  </si>
  <si>
    <t>P3189</t>
  </si>
  <si>
    <t>P9725</t>
  </si>
  <si>
    <t>P2789</t>
  </si>
  <si>
    <t>P5062</t>
  </si>
  <si>
    <t>P1528</t>
  </si>
  <si>
    <t>P8374</t>
  </si>
  <si>
    <t>P6492</t>
  </si>
  <si>
    <t>P2846</t>
  </si>
  <si>
    <t>P5176</t>
  </si>
  <si>
    <t>P7368</t>
  </si>
  <si>
    <t>P8026</t>
  </si>
  <si>
    <t>P7107</t>
  </si>
  <si>
    <t>P6152</t>
  </si>
  <si>
    <t>P7419</t>
  </si>
  <si>
    <t>P2361</t>
  </si>
  <si>
    <t>P8397</t>
  </si>
  <si>
    <t>P9203</t>
  </si>
  <si>
    <t>P6758</t>
  </si>
  <si>
    <t>P8149</t>
  </si>
  <si>
    <t>P6097</t>
  </si>
  <si>
    <t>P7623</t>
  </si>
  <si>
    <t>P4819</t>
  </si>
  <si>
    <t>P5938</t>
  </si>
  <si>
    <t>P7356</t>
  </si>
  <si>
    <t>P4369</t>
  </si>
  <si>
    <t>P8291</t>
  </si>
  <si>
    <t>P5638</t>
  </si>
  <si>
    <t>P9752</t>
  </si>
  <si>
    <t>P8623</t>
  </si>
  <si>
    <t>P3174</t>
  </si>
  <si>
    <t>P5273</t>
  </si>
  <si>
    <t>P5085</t>
  </si>
  <si>
    <t>P9721</t>
  </si>
  <si>
    <t>P7180</t>
  </si>
  <si>
    <t>P3408</t>
  </si>
  <si>
    <t>P6057</t>
  </si>
  <si>
    <t>P9573</t>
  </si>
  <si>
    <t>P3726</t>
  </si>
  <si>
    <t>P5289</t>
  </si>
  <si>
    <t>P8013</t>
  </si>
  <si>
    <t>P7508</t>
  </si>
  <si>
    <t>P4592</t>
  </si>
  <si>
    <t>P8093</t>
  </si>
  <si>
    <t>P5078</t>
  </si>
  <si>
    <t>P4195</t>
  </si>
  <si>
    <t>P7254</t>
  </si>
  <si>
    <t>P1904</t>
  </si>
  <si>
    <t>P2430</t>
  </si>
  <si>
    <t>P6187</t>
  </si>
  <si>
    <t>P5868</t>
  </si>
  <si>
    <t>P6723</t>
  </si>
  <si>
    <t>P3196</t>
  </si>
  <si>
    <t>P2803</t>
  </si>
  <si>
    <t>P5942</t>
  </si>
  <si>
    <t>P6709</t>
  </si>
  <si>
    <t>P4725</t>
  </si>
  <si>
    <t>P1093</t>
  </si>
  <si>
    <t>P4387</t>
  </si>
  <si>
    <t>P5704</t>
  </si>
  <si>
    <t>P6472</t>
  </si>
  <si>
    <t>P1385</t>
  </si>
  <si>
    <t>P6925</t>
  </si>
  <si>
    <t>P7091</t>
  </si>
  <si>
    <t>P8393</t>
  </si>
  <si>
    <t>P4210</t>
  </si>
  <si>
    <t>P1096</t>
  </si>
  <si>
    <t>P6384</t>
  </si>
  <si>
    <t>P9042</t>
  </si>
  <si>
    <t>P5269</t>
  </si>
  <si>
    <t>P8417</t>
  </si>
  <si>
    <t>P3095</t>
  </si>
  <si>
    <t>P9380</t>
  </si>
  <si>
    <t>P7516</t>
  </si>
  <si>
    <t>P9026</t>
  </si>
  <si>
    <t>P3589</t>
  </si>
  <si>
    <t>P4396</t>
  </si>
  <si>
    <t>P9127</t>
  </si>
  <si>
    <t>P3017</t>
  </si>
  <si>
    <t>P8204</t>
  </si>
  <si>
    <t>P5064</t>
  </si>
  <si>
    <t>P4397</t>
  </si>
  <si>
    <t>P9803</t>
  </si>
  <si>
    <t>P4986</t>
  </si>
  <si>
    <t>P4273</t>
  </si>
  <si>
    <t>P5180</t>
  </si>
  <si>
    <t>P7401</t>
  </si>
  <si>
    <t>P5301</t>
  </si>
  <si>
    <t>P2386</t>
  </si>
  <si>
    <t>P8462</t>
  </si>
  <si>
    <t>P3952</t>
  </si>
  <si>
    <t>P7269</t>
  </si>
  <si>
    <t>P5147</t>
  </si>
  <si>
    <t>P9674</t>
  </si>
  <si>
    <t>P8710</t>
  </si>
  <si>
    <t>P1287</t>
  </si>
  <si>
    <t>P2398</t>
  </si>
  <si>
    <t>P6751</t>
  </si>
  <si>
    <t>P8310</t>
  </si>
  <si>
    <t>P3989</t>
  </si>
  <si>
    <t>P7916</t>
  </si>
  <si>
    <t>P6025</t>
  </si>
  <si>
    <t>P4079</t>
  </si>
  <si>
    <t>P5197</t>
  </si>
  <si>
    <t>P6157</t>
  </si>
  <si>
    <t>P4186</t>
  </si>
  <si>
    <t>P9073</t>
  </si>
  <si>
    <t>P7319</t>
  </si>
  <si>
    <t>P1806</t>
  </si>
  <si>
    <t>P2748</t>
  </si>
  <si>
    <t>P9758</t>
  </si>
  <si>
    <t>P8437</t>
  </si>
  <si>
    <t>P5192</t>
  </si>
  <si>
    <t>P6109</t>
  </si>
  <si>
    <t>P9503</t>
  </si>
  <si>
    <t>P1708</t>
  </si>
  <si>
    <t>P6023</t>
  </si>
  <si>
    <t>P8142</t>
  </si>
  <si>
    <t>P9215</t>
  </si>
  <si>
    <t>P5671</t>
  </si>
  <si>
    <t>P8258</t>
  </si>
  <si>
    <t>P4132</t>
  </si>
  <si>
    <t>P6705</t>
  </si>
  <si>
    <t>P9570</t>
  </si>
  <si>
    <t>P3723</t>
  </si>
  <si>
    <t>P9801</t>
  </si>
  <si>
    <t>P2419</t>
  </si>
  <si>
    <t>P5728</t>
  </si>
  <si>
    <t>P4591</t>
  </si>
  <si>
    <t>P6397</t>
  </si>
  <si>
    <t>P8064</t>
  </si>
  <si>
    <t>P1947</t>
  </si>
  <si>
    <t>P3052</t>
  </si>
  <si>
    <t>P6107</t>
  </si>
  <si>
    <t>P2718</t>
  </si>
  <si>
    <t>P7096</t>
  </si>
  <si>
    <t>P6381</t>
  </si>
  <si>
    <t>P5832</t>
  </si>
  <si>
    <t>P4285</t>
  </si>
  <si>
    <t>P3171</t>
  </si>
  <si>
    <t>P5169</t>
  </si>
  <si>
    <t>P5070</t>
  </si>
  <si>
    <t>P8625</t>
  </si>
  <si>
    <t>P4238</t>
  </si>
  <si>
    <t>P6584</t>
  </si>
  <si>
    <t>P2890</t>
  </si>
  <si>
    <t>P5430</t>
  </si>
  <si>
    <t>P3912</t>
  </si>
  <si>
    <t>P9248</t>
  </si>
  <si>
    <t>P8105</t>
  </si>
  <si>
    <t>P9024</t>
  </si>
  <si>
    <t>P3728</t>
  </si>
  <si>
    <t>P3164</t>
  </si>
  <si>
    <t>P4293</t>
  </si>
  <si>
    <t>P1730</t>
  </si>
  <si>
    <t>P7469</t>
  </si>
  <si>
    <t>P1508</t>
  </si>
  <si>
    <t>P2481</t>
  </si>
  <si>
    <t>P3592</t>
  </si>
  <si>
    <t>P2108</t>
  </si>
  <si>
    <t>P8456</t>
  </si>
  <si>
    <t>P6073</t>
  </si>
  <si>
    <t>P5715</t>
  </si>
  <si>
    <t>P8593</t>
  </si>
  <si>
    <t>P3727</t>
  </si>
  <si>
    <t>P5149</t>
  </si>
  <si>
    <t>P9735</t>
  </si>
  <si>
    <t>P1294</t>
  </si>
  <si>
    <t>P7502</t>
  </si>
  <si>
    <t>P9530</t>
  </si>
  <si>
    <t>P4058</t>
  </si>
  <si>
    <t>P4807</t>
  </si>
  <si>
    <t>P5670</t>
  </si>
  <si>
    <t>P8296</t>
  </si>
  <si>
    <t>P6209</t>
  </si>
  <si>
    <t>P7367</t>
  </si>
  <si>
    <t>P9418</t>
  </si>
  <si>
    <t>P8237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</si>
</sst>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4" fontId="0" fillId="0" borderId="0" xfId="0" applyNumberFormat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21">
    <dxf>
      <numFmt numFmtId="2" formatCode="0.00"/>
    </dxf>
    <dxf>
      <numFmt numFmtId="4" formatCode="#,##0.00"/>
    </dxf>
    <dxf>
      <numFmt numFmtId="4" formatCode="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fill>
        <patternFill patternType="none">
          <fgColor indexed="64"/>
          <bgColor indexed="65"/>
        </patternFill>
      </fill>
    </dxf>
    <dxf>
      <alignment horizontal="center" vertical="bottom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3</xdr:row>
          <xdr:rowOff>9525</xdr:rowOff>
        </xdr:from>
        <xdr:to>
          <xdr:col>13</xdr:col>
          <xdr:colOff>485775</xdr:colOff>
          <xdr:row>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eBayUpdate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J706" totalsRowShown="0" headerRowDxfId="18">
  <autoFilter ref="A1:J706" xr:uid="{00000000-0009-0000-0100-000001000000}"/>
  <tableColumns count="10">
    <tableColumn id="1" xr3:uid="{00000000-0010-0000-0000-000001000000}" name="Product ID" dataDxfId="17"/>
    <tableColumn id="3" xr3:uid="{00000000-0010-0000-0000-000003000000}" name="Base Price" dataDxfId="16" totalsRowDxfId="15"/>
    <tableColumn id="4" xr3:uid="{00000000-0010-0000-0000-000004000000}" name="Gross Sales Price" dataDxfId="14" totalsRowDxfId="13"/>
    <tableColumn id="15" xr3:uid="{00000000-0010-0000-0000-00000F000000}" name="Net Sales Price" dataDxfId="12" totalsRowDxfId="11">
      <calculatedColumnFormula>Tabelle1[[#This Row],[Gross Sales Price]]/1.18</calculatedColumnFormula>
    </tableColumn>
    <tableColumn id="18" xr3:uid="{7D35C936-76D0-4E15-B00A-776CA40A4C61}" name="Total Selling Costs_x000a__x0009_" dataDxfId="10" totalsRowDxfId="9">
      <calculatedColumnFormula>Tabelle1[[#This Row],[Gross Sales Price]]*0.12</calculatedColumnFormula>
    </tableColumn>
    <tableColumn id="17" xr3:uid="{AD40001D-6B48-41B9-B2D2-7B2DE93DBC10}" name="Fixed Costs" dataDxfId="8" totalsRowDxfId="7"/>
    <tableColumn id="7" xr3:uid="{00000000-0010-0000-0000-000007000000}" name="DHL Costs" dataDxfId="6" totalsRowDxfId="5"/>
    <tableColumn id="8" xr3:uid="{0BE7E6CD-AD0E-47D7-97C5-573DA6E45402}" name="Handling Costs" dataDxfId="4" totalsRowDxfId="3"/>
    <tableColumn id="10" xr3:uid="{00000000-0010-0000-0000-00000A000000}" name="Variable Costs" dataDxfId="2" totalsRowDxfId="1">
      <calculatedColumnFormula>Tabelle1[[#This Row],[Base Price]]+Tabelle1[[#This Row],[Total Selling Costs
	]]+Tabelle1[[#This Row],[DHL Costs]]+Tabelle1[[#This Row],[Handling Costs]]+Tabelle1[[#This Row],[Fixed Costs]]</calculatedColumnFormula>
    </tableColumn>
    <tableColumn id="12" xr3:uid="{00000000-0010-0000-0000-00000C000000}" name="Unit Profit" dataDxfId="0">
      <calculatedColumnFormula>Tabelle1[[#This Row],[Net Sales Price]]-Tabelle1[[#This Row],[Variable Costs]]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34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13.7109375" bestFit="1" customWidth="1"/>
    <col min="2" max="2" width="16.85546875" customWidth="1"/>
    <col min="3" max="4" width="21.28515625" customWidth="1"/>
    <col min="5" max="5" width="20.28515625" customWidth="1"/>
    <col min="6" max="6" width="13.28515625" bestFit="1" customWidth="1"/>
    <col min="7" max="7" width="17.140625" bestFit="1" customWidth="1"/>
    <col min="8" max="8" width="17.140625" customWidth="1"/>
    <col min="9" max="9" width="16" style="1" bestFit="1" customWidth="1"/>
    <col min="10" max="10" width="18" style="1" customWidth="1"/>
    <col min="11" max="11" width="11" bestFit="1" customWidth="1"/>
  </cols>
  <sheetData>
    <row r="1" spans="1:10" ht="15" customHeight="1" x14ac:dyDescent="0.25">
      <c r="A1" s="4" t="s">
        <v>0</v>
      </c>
      <c r="B1" s="4" t="s">
        <v>1</v>
      </c>
      <c r="C1" s="7" t="s">
        <v>2</v>
      </c>
      <c r="D1" s="3" t="s">
        <v>3</v>
      </c>
      <c r="E1" s="6" t="s">
        <v>4</v>
      </c>
      <c r="F1" s="6" t="s">
        <v>5</v>
      </c>
      <c r="G1" s="5" t="s">
        <v>6</v>
      </c>
      <c r="H1" s="5" t="s">
        <v>7</v>
      </c>
      <c r="I1" s="3" t="s">
        <v>8</v>
      </c>
      <c r="J1" s="4" t="s">
        <v>9</v>
      </c>
    </row>
    <row r="2" spans="1:10" ht="15" customHeight="1" x14ac:dyDescent="0.25">
      <c r="A2" s="8" t="s">
        <v>10</v>
      </c>
      <c r="B2" s="1">
        <v>16.64</v>
      </c>
      <c r="C2" s="1">
        <v>2.68</v>
      </c>
      <c r="D2" s="1">
        <f>Tabelle1[[#This Row],[Gross Sales Price]]/1.18</f>
        <v>2.2711864406779663</v>
      </c>
      <c r="E2" s="1">
        <f>Tabelle1[[#This Row],[Gross Sales Price]]*0.12</f>
        <v>0.3216</v>
      </c>
      <c r="F2" s="1">
        <v>0.4</v>
      </c>
      <c r="G2" s="1">
        <v>3</v>
      </c>
      <c r="H2" s="1">
        <v>2</v>
      </c>
      <c r="I2" s="2">
        <f>Tabelle1[[#This Row],[Base Price]]+Tabelle1[[#This Row],[Total Selling Costs
	]]+Tabelle1[[#This Row],[DHL Costs]]+Tabelle1[[#This Row],[Handling Costs]]+Tabelle1[[#This Row],[Fixed Costs]]</f>
        <v>22.361599999999999</v>
      </c>
      <c r="J2" s="2">
        <f>Tabelle1[[#This Row],[Net Sales Price]]-Tabelle1[[#This Row],[Variable Costs]]</f>
        <v>-20.090413559322034</v>
      </c>
    </row>
    <row r="3" spans="1:10" x14ac:dyDescent="0.25">
      <c r="A3" s="8" t="s">
        <v>11</v>
      </c>
      <c r="B3" s="1">
        <v>11.55</v>
      </c>
      <c r="C3" s="1">
        <v>24.45</v>
      </c>
      <c r="D3" s="1">
        <f>Tabelle1[[#This Row],[Gross Sales Price]]/1.18</f>
        <v>20.720338983050848</v>
      </c>
      <c r="E3" s="1">
        <f>Tabelle1[[#This Row],[Gross Sales Price]]*0.12</f>
        <v>2.9339999999999997</v>
      </c>
      <c r="F3" s="1">
        <v>0.4</v>
      </c>
      <c r="G3" s="1">
        <v>3</v>
      </c>
      <c r="H3" s="1">
        <v>2</v>
      </c>
      <c r="I3" s="2">
        <f>Tabelle1[[#This Row],[Base Price]]+Tabelle1[[#This Row],[Total Selling Costs
	]]+Tabelle1[[#This Row],[DHL Costs]]+Tabelle1[[#This Row],[Handling Costs]]+Tabelle1[[#This Row],[Fixed Costs]]</f>
        <v>19.884</v>
      </c>
      <c r="J3" s="1">
        <f>Tabelle1[[#This Row],[Net Sales Price]]-Tabelle1[[#This Row],[Variable Costs]]</f>
        <v>0.83633898305084742</v>
      </c>
    </row>
    <row r="4" spans="1:10" ht="15" customHeight="1" x14ac:dyDescent="0.25">
      <c r="A4" s="9" t="s">
        <v>12</v>
      </c>
      <c r="B4" s="1">
        <v>11.97</v>
      </c>
      <c r="C4" s="1">
        <v>38.94</v>
      </c>
      <c r="D4" s="1">
        <f>Tabelle1[[#This Row],[Gross Sales Price]]/1.18</f>
        <v>33</v>
      </c>
      <c r="E4" s="1">
        <f>Tabelle1[[#This Row],[Gross Sales Price]]*0.12</f>
        <v>4.6727999999999996</v>
      </c>
      <c r="F4" s="1">
        <v>0.4</v>
      </c>
      <c r="G4" s="1">
        <v>3</v>
      </c>
      <c r="H4" s="1">
        <v>2</v>
      </c>
      <c r="I4" s="2">
        <f>Tabelle1[[#This Row],[Base Price]]+Tabelle1[[#This Row],[Total Selling Costs
	]]+Tabelle1[[#This Row],[DHL Costs]]+Tabelle1[[#This Row],[Handling Costs]]+Tabelle1[[#This Row],[Fixed Costs]]</f>
        <v>22.0428</v>
      </c>
      <c r="J4" s="2">
        <f>Tabelle1[[#This Row],[Net Sales Price]]-Tabelle1[[#This Row],[Variable Costs]]</f>
        <v>10.9572</v>
      </c>
    </row>
    <row r="5" spans="1:10" ht="15" customHeight="1" x14ac:dyDescent="0.25">
      <c r="A5" s="8" t="s">
        <v>13</v>
      </c>
      <c r="B5" s="1">
        <v>1.1599999999999999</v>
      </c>
      <c r="C5" s="1">
        <v>24.62</v>
      </c>
      <c r="D5" s="1">
        <f>Tabelle1[[#This Row],[Gross Sales Price]]/1.18</f>
        <v>20.864406779661017</v>
      </c>
      <c r="E5" s="1">
        <f>Tabelle1[[#This Row],[Gross Sales Price]]*0.12</f>
        <v>2.9544000000000001</v>
      </c>
      <c r="F5" s="1">
        <v>0.4</v>
      </c>
      <c r="G5" s="1">
        <v>3</v>
      </c>
      <c r="H5" s="1">
        <v>2</v>
      </c>
      <c r="I5" s="2">
        <f>Tabelle1[[#This Row],[Base Price]]+Tabelle1[[#This Row],[Total Selling Costs
	]]+Tabelle1[[#This Row],[DHL Costs]]+Tabelle1[[#This Row],[Handling Costs]]+Tabelle1[[#This Row],[Fixed Costs]]</f>
        <v>9.5144000000000002</v>
      </c>
      <c r="J5" s="2">
        <f>Tabelle1[[#This Row],[Net Sales Price]]-Tabelle1[[#This Row],[Variable Costs]]</f>
        <v>11.350006779661017</v>
      </c>
    </row>
    <row r="6" spans="1:10" x14ac:dyDescent="0.25">
      <c r="A6" s="8" t="s">
        <v>14</v>
      </c>
      <c r="B6" s="1">
        <v>9.6199999999999992</v>
      </c>
      <c r="C6" s="1">
        <v>22.61</v>
      </c>
      <c r="D6" s="1">
        <f>Tabelle1[[#This Row],[Gross Sales Price]]/1.18</f>
        <v>19.161016949152543</v>
      </c>
      <c r="E6" s="1">
        <f>Tabelle1[[#This Row],[Gross Sales Price]]*0.12</f>
        <v>2.7131999999999996</v>
      </c>
      <c r="F6" s="1">
        <v>0.4</v>
      </c>
      <c r="G6" s="1">
        <v>3</v>
      </c>
      <c r="H6" s="1">
        <v>2</v>
      </c>
      <c r="I6" s="2">
        <f>Tabelle1[[#This Row],[Base Price]]+Tabelle1[[#This Row],[Total Selling Costs
	]]+Tabelle1[[#This Row],[DHL Costs]]+Tabelle1[[#This Row],[Handling Costs]]+Tabelle1[[#This Row],[Fixed Costs]]</f>
        <v>17.733199999999997</v>
      </c>
      <c r="J6" s="2">
        <f>Tabelle1[[#This Row],[Net Sales Price]]-Tabelle1[[#This Row],[Variable Costs]]</f>
        <v>1.4278169491525468</v>
      </c>
    </row>
    <row r="7" spans="1:10" x14ac:dyDescent="0.25">
      <c r="A7" s="8" t="s">
        <v>15</v>
      </c>
      <c r="B7" s="1">
        <v>5.57</v>
      </c>
      <c r="C7" s="1">
        <v>22.86</v>
      </c>
      <c r="D7" s="1">
        <f>Tabelle1[[#This Row],[Gross Sales Price]]/1.18</f>
        <v>19.372881355932204</v>
      </c>
      <c r="E7" s="1">
        <f>Tabelle1[[#This Row],[Gross Sales Price]]*0.12</f>
        <v>2.7431999999999999</v>
      </c>
      <c r="F7" s="1">
        <v>0.4</v>
      </c>
      <c r="G7" s="1">
        <v>3</v>
      </c>
      <c r="H7" s="1">
        <v>2</v>
      </c>
      <c r="I7" s="2">
        <f>Tabelle1[[#This Row],[Base Price]]+Tabelle1[[#This Row],[Total Selling Costs
	]]+Tabelle1[[#This Row],[DHL Costs]]+Tabelle1[[#This Row],[Handling Costs]]+Tabelle1[[#This Row],[Fixed Costs]]</f>
        <v>13.713200000000001</v>
      </c>
      <c r="J7" s="2">
        <f>Tabelle1[[#This Row],[Net Sales Price]]-Tabelle1[[#This Row],[Variable Costs]]</f>
        <v>5.6596813559322037</v>
      </c>
    </row>
    <row r="8" spans="1:10" x14ac:dyDescent="0.25">
      <c r="A8" s="8" t="s">
        <v>16</v>
      </c>
      <c r="B8" s="1">
        <v>5.48</v>
      </c>
      <c r="C8" s="1">
        <v>3.44</v>
      </c>
      <c r="D8" s="1">
        <f>Tabelle1[[#This Row],[Gross Sales Price]]/1.18</f>
        <v>2.9152542372881358</v>
      </c>
      <c r="E8" s="1">
        <f>Tabelle1[[#This Row],[Gross Sales Price]]*0.12</f>
        <v>0.4128</v>
      </c>
      <c r="F8" s="1">
        <v>0.4</v>
      </c>
      <c r="G8" s="1">
        <v>3</v>
      </c>
      <c r="H8" s="1">
        <v>2</v>
      </c>
      <c r="I8" s="2">
        <f>Tabelle1[[#This Row],[Base Price]]+Tabelle1[[#This Row],[Total Selling Costs
	]]+Tabelle1[[#This Row],[DHL Costs]]+Tabelle1[[#This Row],[Handling Costs]]+Tabelle1[[#This Row],[Fixed Costs]]</f>
        <v>11.292800000000002</v>
      </c>
      <c r="J8" s="2">
        <f>Tabelle1[[#This Row],[Net Sales Price]]-Tabelle1[[#This Row],[Variable Costs]]</f>
        <v>-8.3775457627118648</v>
      </c>
    </row>
    <row r="9" spans="1:10" x14ac:dyDescent="0.25">
      <c r="A9" s="8" t="s">
        <v>17</v>
      </c>
      <c r="B9" s="1">
        <v>17.95</v>
      </c>
      <c r="C9" s="1">
        <v>31.41</v>
      </c>
      <c r="D9" s="1">
        <f>Tabelle1[[#This Row],[Gross Sales Price]]/1.18</f>
        <v>26.618644067796613</v>
      </c>
      <c r="E9" s="1">
        <f>Tabelle1[[#This Row],[Gross Sales Price]]*0.12</f>
        <v>3.7691999999999997</v>
      </c>
      <c r="F9" s="1">
        <v>0.4</v>
      </c>
      <c r="G9" s="1">
        <v>3</v>
      </c>
      <c r="H9" s="1">
        <v>2</v>
      </c>
      <c r="I9" s="2">
        <f>Tabelle1[[#This Row],[Base Price]]+Tabelle1[[#This Row],[Total Selling Costs
	]]+Tabelle1[[#This Row],[DHL Costs]]+Tabelle1[[#This Row],[Handling Costs]]+Tabelle1[[#This Row],[Fixed Costs]]</f>
        <v>27.119199999999999</v>
      </c>
      <c r="J9" s="2">
        <f>Tabelle1[[#This Row],[Net Sales Price]]-Tabelle1[[#This Row],[Variable Costs]]</f>
        <v>-0.50055593220338679</v>
      </c>
    </row>
    <row r="10" spans="1:10" x14ac:dyDescent="0.25">
      <c r="A10" s="8" t="s">
        <v>18</v>
      </c>
      <c r="B10" s="1">
        <v>19.3</v>
      </c>
      <c r="C10" s="1">
        <v>17.66</v>
      </c>
      <c r="D10" s="1">
        <f>Tabelle1[[#This Row],[Gross Sales Price]]/1.18</f>
        <v>14.966101694915254</v>
      </c>
      <c r="E10" s="1">
        <f>Tabelle1[[#This Row],[Gross Sales Price]]*0.12</f>
        <v>2.1191999999999998</v>
      </c>
      <c r="F10" s="1">
        <v>0.4</v>
      </c>
      <c r="G10" s="1">
        <v>3</v>
      </c>
      <c r="H10" s="1">
        <v>2</v>
      </c>
      <c r="I10" s="2">
        <f>Tabelle1[[#This Row],[Base Price]]+Tabelle1[[#This Row],[Total Selling Costs
	]]+Tabelle1[[#This Row],[DHL Costs]]+Tabelle1[[#This Row],[Handling Costs]]+Tabelle1[[#This Row],[Fixed Costs]]</f>
        <v>26.819199999999999</v>
      </c>
      <c r="J10" s="1">
        <f>Tabelle1[[#This Row],[Net Sales Price]]-Tabelle1[[#This Row],[Variable Costs]]</f>
        <v>-11.853098305084744</v>
      </c>
    </row>
    <row r="11" spans="1:10" x14ac:dyDescent="0.25">
      <c r="A11" s="8" t="s">
        <v>19</v>
      </c>
      <c r="B11" s="1">
        <v>5.74</v>
      </c>
      <c r="C11" s="1">
        <v>39.42</v>
      </c>
      <c r="D11" s="1">
        <f>Tabelle1[[#This Row],[Gross Sales Price]]/1.18</f>
        <v>33.406779661016955</v>
      </c>
      <c r="E11" s="1">
        <f>Tabelle1[[#This Row],[Gross Sales Price]]*0.12</f>
        <v>4.7304000000000004</v>
      </c>
      <c r="F11" s="1">
        <v>0.4</v>
      </c>
      <c r="G11" s="1">
        <v>3</v>
      </c>
      <c r="H11" s="1">
        <v>2</v>
      </c>
      <c r="I11" s="2">
        <f>Tabelle1[[#This Row],[Base Price]]+Tabelle1[[#This Row],[Total Selling Costs
	]]+Tabelle1[[#This Row],[DHL Costs]]+Tabelle1[[#This Row],[Handling Costs]]+Tabelle1[[#This Row],[Fixed Costs]]</f>
        <v>15.870400000000002</v>
      </c>
      <c r="J11" s="2">
        <f>Tabelle1[[#This Row],[Net Sales Price]]-Tabelle1[[#This Row],[Variable Costs]]</f>
        <v>17.536379661016952</v>
      </c>
    </row>
    <row r="12" spans="1:10" x14ac:dyDescent="0.25">
      <c r="A12" s="8" t="s">
        <v>20</v>
      </c>
      <c r="B12" s="1">
        <v>9.61</v>
      </c>
      <c r="C12" s="1">
        <v>39.68</v>
      </c>
      <c r="D12" s="1">
        <f>Tabelle1[[#This Row],[Gross Sales Price]]/1.18</f>
        <v>33.627118644067799</v>
      </c>
      <c r="E12" s="1">
        <f>Tabelle1[[#This Row],[Gross Sales Price]]*0.12</f>
        <v>4.7615999999999996</v>
      </c>
      <c r="F12" s="1">
        <v>0.4</v>
      </c>
      <c r="G12" s="1">
        <v>3</v>
      </c>
      <c r="H12" s="1">
        <v>2</v>
      </c>
      <c r="I12" s="2">
        <f>Tabelle1[[#This Row],[Base Price]]+Tabelle1[[#This Row],[Total Selling Costs
	]]+Tabelle1[[#This Row],[DHL Costs]]+Tabelle1[[#This Row],[Handling Costs]]+Tabelle1[[#This Row],[Fixed Costs]]</f>
        <v>19.771599999999999</v>
      </c>
      <c r="J12" s="2">
        <f>Tabelle1[[#This Row],[Net Sales Price]]-Tabelle1[[#This Row],[Variable Costs]]</f>
        <v>13.8555186440678</v>
      </c>
    </row>
    <row r="13" spans="1:10" x14ac:dyDescent="0.25">
      <c r="A13" s="8" t="s">
        <v>21</v>
      </c>
      <c r="B13" s="1">
        <v>1.69</v>
      </c>
      <c r="C13" s="1">
        <v>4.7699999999999996</v>
      </c>
      <c r="D13" s="1">
        <f>Tabelle1[[#This Row],[Gross Sales Price]]/1.18</f>
        <v>4.0423728813559316</v>
      </c>
      <c r="E13" s="1">
        <f>Tabelle1[[#This Row],[Gross Sales Price]]*0.12</f>
        <v>0.57239999999999991</v>
      </c>
      <c r="F13" s="1">
        <v>0.4</v>
      </c>
      <c r="G13" s="1">
        <v>3</v>
      </c>
      <c r="H13" s="1">
        <v>2</v>
      </c>
      <c r="I13" s="2">
        <f>Tabelle1[[#This Row],[Base Price]]+Tabelle1[[#This Row],[Total Selling Costs
	]]+Tabelle1[[#This Row],[DHL Costs]]+Tabelle1[[#This Row],[Handling Costs]]+Tabelle1[[#This Row],[Fixed Costs]]</f>
        <v>7.6623999999999999</v>
      </c>
      <c r="J13" s="2">
        <f>Tabelle1[[#This Row],[Net Sales Price]]-Tabelle1[[#This Row],[Variable Costs]]</f>
        <v>-3.6200271186440682</v>
      </c>
    </row>
    <row r="14" spans="1:10" x14ac:dyDescent="0.25">
      <c r="A14" s="8" t="s">
        <v>22</v>
      </c>
      <c r="B14" s="1">
        <v>5.84</v>
      </c>
      <c r="C14" s="1">
        <v>12.07</v>
      </c>
      <c r="D14" s="1">
        <f>Tabelle1[[#This Row],[Gross Sales Price]]/1.18</f>
        <v>10.228813559322035</v>
      </c>
      <c r="E14" s="1">
        <f>Tabelle1[[#This Row],[Gross Sales Price]]*0.12</f>
        <v>1.4483999999999999</v>
      </c>
      <c r="F14" s="1">
        <v>0.4</v>
      </c>
      <c r="G14" s="1">
        <v>3</v>
      </c>
      <c r="H14" s="1">
        <v>2</v>
      </c>
      <c r="I14" s="2">
        <f>Tabelle1[[#This Row],[Base Price]]+Tabelle1[[#This Row],[Total Selling Costs
	]]+Tabelle1[[#This Row],[DHL Costs]]+Tabelle1[[#This Row],[Handling Costs]]+Tabelle1[[#This Row],[Fixed Costs]]</f>
        <v>12.6884</v>
      </c>
      <c r="J14" s="2">
        <f>Tabelle1[[#This Row],[Net Sales Price]]-Tabelle1[[#This Row],[Variable Costs]]</f>
        <v>-2.4595864406779651</v>
      </c>
    </row>
    <row r="15" spans="1:10" x14ac:dyDescent="0.25">
      <c r="A15" s="8" t="s">
        <v>23</v>
      </c>
      <c r="B15" s="1">
        <v>17.89</v>
      </c>
      <c r="C15" s="1">
        <v>26.56</v>
      </c>
      <c r="D15" s="1">
        <f>Tabelle1[[#This Row],[Gross Sales Price]]/1.18</f>
        <v>22.508474576271187</v>
      </c>
      <c r="E15" s="1">
        <f>Tabelle1[[#This Row],[Gross Sales Price]]*0.12</f>
        <v>3.1871999999999998</v>
      </c>
      <c r="F15" s="1">
        <v>0.4</v>
      </c>
      <c r="G15" s="1">
        <v>3</v>
      </c>
      <c r="H15" s="1">
        <v>2</v>
      </c>
      <c r="I15" s="2">
        <f>Tabelle1[[#This Row],[Base Price]]+Tabelle1[[#This Row],[Total Selling Costs
	]]+Tabelle1[[#This Row],[DHL Costs]]+Tabelle1[[#This Row],[Handling Costs]]+Tabelle1[[#This Row],[Fixed Costs]]</f>
        <v>26.4772</v>
      </c>
      <c r="J15" s="1">
        <f>Tabelle1[[#This Row],[Net Sales Price]]-Tabelle1[[#This Row],[Variable Costs]]</f>
        <v>-3.968725423728813</v>
      </c>
    </row>
    <row r="16" spans="1:10" x14ac:dyDescent="0.25">
      <c r="A16" s="8" t="s">
        <v>24</v>
      </c>
      <c r="B16" s="1">
        <v>1.48</v>
      </c>
      <c r="C16" s="1">
        <v>9.06</v>
      </c>
      <c r="D16" s="1">
        <f>Tabelle1[[#This Row],[Gross Sales Price]]/1.18</f>
        <v>7.6779661016949161</v>
      </c>
      <c r="E16" s="1">
        <f>Tabelle1[[#This Row],[Gross Sales Price]]*0.12</f>
        <v>1.0871999999999999</v>
      </c>
      <c r="F16" s="1">
        <v>0.4</v>
      </c>
      <c r="G16" s="1">
        <v>3</v>
      </c>
      <c r="H16" s="1">
        <v>2</v>
      </c>
      <c r="I16" s="2">
        <f>Tabelle1[[#This Row],[Base Price]]+Tabelle1[[#This Row],[Total Selling Costs
	]]+Tabelle1[[#This Row],[DHL Costs]]+Tabelle1[[#This Row],[Handling Costs]]+Tabelle1[[#This Row],[Fixed Costs]]</f>
        <v>7.9672000000000001</v>
      </c>
      <c r="J16" s="2">
        <f>Tabelle1[[#This Row],[Net Sales Price]]-Tabelle1[[#This Row],[Variable Costs]]</f>
        <v>-0.28923389830508395</v>
      </c>
    </row>
    <row r="17" spans="1:10" x14ac:dyDescent="0.25">
      <c r="A17" s="8" t="s">
        <v>25</v>
      </c>
      <c r="B17" s="1">
        <v>19.34</v>
      </c>
      <c r="C17" s="1">
        <v>10.33</v>
      </c>
      <c r="D17" s="1">
        <f>Tabelle1[[#This Row],[Gross Sales Price]]/1.18</f>
        <v>8.7542372881355934</v>
      </c>
      <c r="E17" s="1">
        <f>Tabelle1[[#This Row],[Gross Sales Price]]*0.12</f>
        <v>1.2396</v>
      </c>
      <c r="F17" s="1">
        <v>0.4</v>
      </c>
      <c r="G17" s="1">
        <v>3</v>
      </c>
      <c r="H17" s="1">
        <v>2</v>
      </c>
      <c r="I17" s="2">
        <f>Tabelle1[[#This Row],[Base Price]]+Tabelle1[[#This Row],[Total Selling Costs
	]]+Tabelle1[[#This Row],[DHL Costs]]+Tabelle1[[#This Row],[Handling Costs]]+Tabelle1[[#This Row],[Fixed Costs]]</f>
        <v>25.979599999999998</v>
      </c>
      <c r="J17" s="1">
        <f>Tabelle1[[#This Row],[Net Sales Price]]-Tabelle1[[#This Row],[Variable Costs]]</f>
        <v>-17.225362711864406</v>
      </c>
    </row>
    <row r="18" spans="1:10" x14ac:dyDescent="0.25">
      <c r="A18" s="8" t="s">
        <v>26</v>
      </c>
      <c r="B18" s="1">
        <v>8.81</v>
      </c>
      <c r="C18" s="1">
        <v>28.28</v>
      </c>
      <c r="D18" s="1">
        <f>Tabelle1[[#This Row],[Gross Sales Price]]/1.18</f>
        <v>23.966101694915256</v>
      </c>
      <c r="E18" s="1">
        <f>Tabelle1[[#This Row],[Gross Sales Price]]*0.12</f>
        <v>3.3936000000000002</v>
      </c>
      <c r="F18" s="1">
        <v>0.4</v>
      </c>
      <c r="G18" s="1">
        <v>3</v>
      </c>
      <c r="H18" s="1">
        <v>2</v>
      </c>
      <c r="I18" s="2">
        <f>Tabelle1[[#This Row],[Base Price]]+Tabelle1[[#This Row],[Total Selling Costs
	]]+Tabelle1[[#This Row],[DHL Costs]]+Tabelle1[[#This Row],[Handling Costs]]+Tabelle1[[#This Row],[Fixed Costs]]</f>
        <v>17.6036</v>
      </c>
      <c r="J18" s="2">
        <f>Tabelle1[[#This Row],[Net Sales Price]]-Tabelle1[[#This Row],[Variable Costs]]</f>
        <v>6.362501694915256</v>
      </c>
    </row>
    <row r="19" spans="1:10" x14ac:dyDescent="0.25">
      <c r="A19" s="8" t="s">
        <v>27</v>
      </c>
      <c r="B19" s="1">
        <v>7.37</v>
      </c>
      <c r="C19" s="1">
        <v>19.98</v>
      </c>
      <c r="D19" s="1">
        <f>Tabelle1[[#This Row],[Gross Sales Price]]/1.18</f>
        <v>16.932203389830509</v>
      </c>
      <c r="E19" s="1">
        <f>Tabelle1[[#This Row],[Gross Sales Price]]*0.12</f>
        <v>2.3976000000000002</v>
      </c>
      <c r="F19" s="1">
        <v>0.4</v>
      </c>
      <c r="G19" s="1">
        <v>3</v>
      </c>
      <c r="H19" s="1">
        <v>2</v>
      </c>
      <c r="I19" s="2">
        <f>Tabelle1[[#This Row],[Base Price]]+Tabelle1[[#This Row],[Total Selling Costs
	]]+Tabelle1[[#This Row],[DHL Costs]]+Tabelle1[[#This Row],[Handling Costs]]+Tabelle1[[#This Row],[Fixed Costs]]</f>
        <v>15.1676</v>
      </c>
      <c r="J19" s="2">
        <f>Tabelle1[[#This Row],[Net Sales Price]]-Tabelle1[[#This Row],[Variable Costs]]</f>
        <v>1.7646033898305085</v>
      </c>
    </row>
    <row r="20" spans="1:10" x14ac:dyDescent="0.25">
      <c r="A20" s="9" t="s">
        <v>28</v>
      </c>
      <c r="B20" s="1">
        <v>19.600000000000001</v>
      </c>
      <c r="C20" s="1">
        <v>14.73</v>
      </c>
      <c r="D20" s="1">
        <f>Tabelle1[[#This Row],[Gross Sales Price]]/1.18</f>
        <v>12.483050847457628</v>
      </c>
      <c r="E20" s="1">
        <f>Tabelle1[[#This Row],[Gross Sales Price]]*0.12</f>
        <v>1.7676000000000001</v>
      </c>
      <c r="F20" s="1">
        <v>0.4</v>
      </c>
      <c r="G20" s="1">
        <v>3</v>
      </c>
      <c r="H20" s="1">
        <v>2</v>
      </c>
      <c r="I20" s="2">
        <f>Tabelle1[[#This Row],[Base Price]]+Tabelle1[[#This Row],[Total Selling Costs
	]]+Tabelle1[[#This Row],[DHL Costs]]+Tabelle1[[#This Row],[Handling Costs]]+Tabelle1[[#This Row],[Fixed Costs]]</f>
        <v>26.767600000000002</v>
      </c>
      <c r="J20" s="2">
        <f>Tabelle1[[#This Row],[Net Sales Price]]-Tabelle1[[#This Row],[Variable Costs]]</f>
        <v>-14.284549152542374</v>
      </c>
    </row>
    <row r="21" spans="1:10" x14ac:dyDescent="0.25">
      <c r="A21" s="8" t="s">
        <v>29</v>
      </c>
      <c r="B21" s="1">
        <v>3.78</v>
      </c>
      <c r="C21" s="1">
        <v>37.799999999999997</v>
      </c>
      <c r="D21" s="1">
        <f>Tabelle1[[#This Row],[Gross Sales Price]]/1.18</f>
        <v>32.033898305084747</v>
      </c>
      <c r="E21" s="1">
        <f>Tabelle1[[#This Row],[Gross Sales Price]]*0.12</f>
        <v>4.5359999999999996</v>
      </c>
      <c r="F21" s="1">
        <v>0.4</v>
      </c>
      <c r="G21" s="1">
        <v>3</v>
      </c>
      <c r="H21" s="1">
        <v>2</v>
      </c>
      <c r="I21" s="2">
        <f>Tabelle1[[#This Row],[Base Price]]+Tabelle1[[#This Row],[Total Selling Costs
	]]+Tabelle1[[#This Row],[DHL Costs]]+Tabelle1[[#This Row],[Handling Costs]]+Tabelle1[[#This Row],[Fixed Costs]]</f>
        <v>13.715999999999999</v>
      </c>
      <c r="J21" s="1">
        <f>Tabelle1[[#This Row],[Net Sales Price]]-Tabelle1[[#This Row],[Variable Costs]]</f>
        <v>18.317898305084746</v>
      </c>
    </row>
    <row r="22" spans="1:10" x14ac:dyDescent="0.25">
      <c r="A22" s="8" t="s">
        <v>30</v>
      </c>
      <c r="B22" s="1">
        <v>10.46</v>
      </c>
      <c r="C22" s="1">
        <v>35.93</v>
      </c>
      <c r="D22" s="1">
        <f>Tabelle1[[#This Row],[Gross Sales Price]]/1.18</f>
        <v>30.449152542372882</v>
      </c>
      <c r="E22" s="1">
        <f>Tabelle1[[#This Row],[Gross Sales Price]]*0.12</f>
        <v>4.3115999999999994</v>
      </c>
      <c r="F22" s="1">
        <v>0.4</v>
      </c>
      <c r="G22" s="1">
        <v>3</v>
      </c>
      <c r="H22" s="1">
        <v>2</v>
      </c>
      <c r="I22" s="2">
        <f>Tabelle1[[#This Row],[Base Price]]+Tabelle1[[#This Row],[Total Selling Costs
	]]+Tabelle1[[#This Row],[DHL Costs]]+Tabelle1[[#This Row],[Handling Costs]]+Tabelle1[[#This Row],[Fixed Costs]]</f>
        <v>20.171599999999998</v>
      </c>
      <c r="J22" s="1">
        <f>Tabelle1[[#This Row],[Net Sales Price]]-Tabelle1[[#This Row],[Variable Costs]]</f>
        <v>10.277552542372884</v>
      </c>
    </row>
    <row r="23" spans="1:10" ht="15.75" customHeight="1" x14ac:dyDescent="0.25">
      <c r="A23" s="8" t="s">
        <v>31</v>
      </c>
      <c r="B23" s="1">
        <v>14.82</v>
      </c>
      <c r="C23" s="1">
        <v>18.32</v>
      </c>
      <c r="D23" s="1">
        <f>Tabelle1[[#This Row],[Gross Sales Price]]/1.18</f>
        <v>15.525423728813561</v>
      </c>
      <c r="E23" s="1">
        <f>Tabelle1[[#This Row],[Gross Sales Price]]*0.12</f>
        <v>2.1983999999999999</v>
      </c>
      <c r="F23" s="1">
        <v>0.4</v>
      </c>
      <c r="G23" s="1">
        <v>3</v>
      </c>
      <c r="H23" s="1">
        <v>2</v>
      </c>
      <c r="I23" s="2">
        <f>Tabelle1[[#This Row],[Base Price]]+Tabelle1[[#This Row],[Total Selling Costs
	]]+Tabelle1[[#This Row],[DHL Costs]]+Tabelle1[[#This Row],[Handling Costs]]+Tabelle1[[#This Row],[Fixed Costs]]</f>
        <v>22.418399999999998</v>
      </c>
      <c r="J23" s="2">
        <f>Tabelle1[[#This Row],[Net Sales Price]]-Tabelle1[[#This Row],[Variable Costs]]</f>
        <v>-6.8929762711864377</v>
      </c>
    </row>
    <row r="24" spans="1:10" x14ac:dyDescent="0.25">
      <c r="A24" s="8" t="s">
        <v>32</v>
      </c>
      <c r="B24" s="1">
        <v>11.31</v>
      </c>
      <c r="C24" s="1">
        <v>15.88</v>
      </c>
      <c r="D24" s="1">
        <f>Tabelle1[[#This Row],[Gross Sales Price]]/1.18</f>
        <v>13.457627118644069</v>
      </c>
      <c r="E24" s="1">
        <f>Tabelle1[[#This Row],[Gross Sales Price]]*0.12</f>
        <v>1.9056</v>
      </c>
      <c r="F24" s="1">
        <v>0.4</v>
      </c>
      <c r="G24" s="1">
        <v>3</v>
      </c>
      <c r="H24" s="1">
        <v>2</v>
      </c>
      <c r="I24" s="2">
        <f>Tabelle1[[#This Row],[Base Price]]+Tabelle1[[#This Row],[Total Selling Costs
	]]+Tabelle1[[#This Row],[DHL Costs]]+Tabelle1[[#This Row],[Handling Costs]]+Tabelle1[[#This Row],[Fixed Costs]]</f>
        <v>18.615600000000001</v>
      </c>
      <c r="J24" s="1">
        <f>Tabelle1[[#This Row],[Net Sales Price]]-Tabelle1[[#This Row],[Variable Costs]]</f>
        <v>-5.1579728813559313</v>
      </c>
    </row>
    <row r="25" spans="1:10" x14ac:dyDescent="0.25">
      <c r="A25" s="8" t="s">
        <v>33</v>
      </c>
      <c r="B25" s="1">
        <v>3.15</v>
      </c>
      <c r="C25" s="1">
        <v>29.38</v>
      </c>
      <c r="D25" s="1">
        <f>Tabelle1[[#This Row],[Gross Sales Price]]/1.18</f>
        <v>24.898305084745765</v>
      </c>
      <c r="E25" s="1">
        <f>Tabelle1[[#This Row],[Gross Sales Price]]*0.12</f>
        <v>3.5255999999999998</v>
      </c>
      <c r="F25" s="1">
        <v>0.4</v>
      </c>
      <c r="G25" s="1">
        <v>3</v>
      </c>
      <c r="H25" s="1">
        <v>2</v>
      </c>
      <c r="I25" s="2">
        <f>Tabelle1[[#This Row],[Base Price]]+Tabelle1[[#This Row],[Total Selling Costs
	]]+Tabelle1[[#This Row],[DHL Costs]]+Tabelle1[[#This Row],[Handling Costs]]+Tabelle1[[#This Row],[Fixed Costs]]</f>
        <v>12.0756</v>
      </c>
      <c r="J25" s="1">
        <f>Tabelle1[[#This Row],[Net Sales Price]]-Tabelle1[[#This Row],[Variable Costs]]</f>
        <v>12.822705084745765</v>
      </c>
    </row>
    <row r="26" spans="1:10" x14ac:dyDescent="0.25">
      <c r="A26" s="8" t="s">
        <v>34</v>
      </c>
      <c r="B26" s="1">
        <v>18.43</v>
      </c>
      <c r="C26" s="1">
        <v>7.33</v>
      </c>
      <c r="D26" s="1">
        <f>Tabelle1[[#This Row],[Gross Sales Price]]/1.18</f>
        <v>6.2118644067796618</v>
      </c>
      <c r="E26" s="1">
        <f>Tabelle1[[#This Row],[Gross Sales Price]]*0.12</f>
        <v>0.87959999999999994</v>
      </c>
      <c r="F26" s="1">
        <v>0.4</v>
      </c>
      <c r="G26" s="1">
        <v>3</v>
      </c>
      <c r="H26" s="1">
        <v>2</v>
      </c>
      <c r="I26" s="2">
        <f>Tabelle1[[#This Row],[Base Price]]+Tabelle1[[#This Row],[Total Selling Costs
	]]+Tabelle1[[#This Row],[DHL Costs]]+Tabelle1[[#This Row],[Handling Costs]]+Tabelle1[[#This Row],[Fixed Costs]]</f>
        <v>24.709599999999998</v>
      </c>
      <c r="J26" s="1">
        <f>Tabelle1[[#This Row],[Net Sales Price]]-Tabelle1[[#This Row],[Variable Costs]]</f>
        <v>-18.497735593220337</v>
      </c>
    </row>
    <row r="27" spans="1:10" x14ac:dyDescent="0.25">
      <c r="A27" s="8" t="s">
        <v>35</v>
      </c>
      <c r="B27" s="1">
        <v>18.97</v>
      </c>
      <c r="C27" s="1">
        <v>15.55</v>
      </c>
      <c r="D27" s="1">
        <f>Tabelle1[[#This Row],[Gross Sales Price]]/1.18</f>
        <v>13.177966101694917</v>
      </c>
      <c r="E27" s="1">
        <f>Tabelle1[[#This Row],[Gross Sales Price]]*0.12</f>
        <v>1.8660000000000001</v>
      </c>
      <c r="F27" s="1">
        <v>0.4</v>
      </c>
      <c r="G27" s="1">
        <v>3</v>
      </c>
      <c r="H27" s="1">
        <v>2</v>
      </c>
      <c r="I27" s="2">
        <f>Tabelle1[[#This Row],[Base Price]]+Tabelle1[[#This Row],[Total Selling Costs
	]]+Tabelle1[[#This Row],[DHL Costs]]+Tabelle1[[#This Row],[Handling Costs]]+Tabelle1[[#This Row],[Fixed Costs]]</f>
        <v>26.235999999999997</v>
      </c>
      <c r="J27" s="2">
        <f>Tabelle1[[#This Row],[Net Sales Price]]-Tabelle1[[#This Row],[Variable Costs]]</f>
        <v>-13.05803389830508</v>
      </c>
    </row>
    <row r="28" spans="1:10" x14ac:dyDescent="0.25">
      <c r="A28" s="8" t="s">
        <v>36</v>
      </c>
      <c r="B28" s="1">
        <v>10.92</v>
      </c>
      <c r="C28" s="1">
        <v>9.07</v>
      </c>
      <c r="D28" s="1">
        <f>Tabelle1[[#This Row],[Gross Sales Price]]/1.18</f>
        <v>7.6864406779661021</v>
      </c>
      <c r="E28" s="1">
        <f>Tabelle1[[#This Row],[Gross Sales Price]]*0.12</f>
        <v>1.0884</v>
      </c>
      <c r="F28" s="1">
        <v>0.4</v>
      </c>
      <c r="G28" s="1">
        <v>3</v>
      </c>
      <c r="H28" s="1">
        <v>2</v>
      </c>
      <c r="I28" s="2">
        <f>Tabelle1[[#This Row],[Base Price]]+Tabelle1[[#This Row],[Total Selling Costs
	]]+Tabelle1[[#This Row],[DHL Costs]]+Tabelle1[[#This Row],[Handling Costs]]+Tabelle1[[#This Row],[Fixed Costs]]</f>
        <v>17.4084</v>
      </c>
      <c r="J28" s="2">
        <f>Tabelle1[[#This Row],[Net Sales Price]]-Tabelle1[[#This Row],[Variable Costs]]</f>
        <v>-9.7219593220338982</v>
      </c>
    </row>
    <row r="29" spans="1:10" ht="15.75" customHeight="1" x14ac:dyDescent="0.25">
      <c r="A29" s="8" t="s">
        <v>37</v>
      </c>
      <c r="B29" s="1">
        <v>1.27</v>
      </c>
      <c r="C29" s="1">
        <v>37.26</v>
      </c>
      <c r="D29" s="1">
        <f>Tabelle1[[#This Row],[Gross Sales Price]]/1.18</f>
        <v>31.576271186440678</v>
      </c>
      <c r="E29" s="1">
        <f>Tabelle1[[#This Row],[Gross Sales Price]]*0.12</f>
        <v>4.4711999999999996</v>
      </c>
      <c r="F29" s="1">
        <v>0.4</v>
      </c>
      <c r="G29" s="1">
        <v>3</v>
      </c>
      <c r="H29" s="1">
        <v>2</v>
      </c>
      <c r="I29" s="2">
        <f>Tabelle1[[#This Row],[Base Price]]+Tabelle1[[#This Row],[Total Selling Costs
	]]+Tabelle1[[#This Row],[DHL Costs]]+Tabelle1[[#This Row],[Handling Costs]]+Tabelle1[[#This Row],[Fixed Costs]]</f>
        <v>11.1412</v>
      </c>
      <c r="J29" s="2">
        <f>Tabelle1[[#This Row],[Net Sales Price]]-Tabelle1[[#This Row],[Variable Costs]]</f>
        <v>20.43507118644068</v>
      </c>
    </row>
    <row r="30" spans="1:10" ht="15" customHeight="1" x14ac:dyDescent="0.25">
      <c r="A30" s="8" t="s">
        <v>38</v>
      </c>
      <c r="B30" s="1">
        <v>9.31</v>
      </c>
      <c r="C30" s="1">
        <v>29.29</v>
      </c>
      <c r="D30" s="1">
        <f>Tabelle1[[#This Row],[Gross Sales Price]]/1.18</f>
        <v>24.822033898305087</v>
      </c>
      <c r="E30" s="1">
        <f>Tabelle1[[#This Row],[Gross Sales Price]]*0.12</f>
        <v>3.5147999999999997</v>
      </c>
      <c r="F30" s="1">
        <v>0.4</v>
      </c>
      <c r="G30" s="1">
        <v>3</v>
      </c>
      <c r="H30" s="1">
        <v>2</v>
      </c>
      <c r="I30" s="2">
        <f>Tabelle1[[#This Row],[Base Price]]+Tabelle1[[#This Row],[Total Selling Costs
	]]+Tabelle1[[#This Row],[DHL Costs]]+Tabelle1[[#This Row],[Handling Costs]]+Tabelle1[[#This Row],[Fixed Costs]]</f>
        <v>18.224799999999998</v>
      </c>
      <c r="J30" s="2">
        <f>Tabelle1[[#This Row],[Net Sales Price]]-Tabelle1[[#This Row],[Variable Costs]]</f>
        <v>6.5972338983050882</v>
      </c>
    </row>
    <row r="31" spans="1:10" x14ac:dyDescent="0.25">
      <c r="A31" s="8" t="s">
        <v>39</v>
      </c>
      <c r="B31" s="1">
        <v>2.5</v>
      </c>
      <c r="C31" s="1">
        <v>10.58</v>
      </c>
      <c r="D31" s="1">
        <f>Tabelle1[[#This Row],[Gross Sales Price]]/1.18</f>
        <v>8.9661016949152543</v>
      </c>
      <c r="E31" s="1">
        <f>Tabelle1[[#This Row],[Gross Sales Price]]*0.12</f>
        <v>1.2696000000000001</v>
      </c>
      <c r="F31" s="1">
        <v>0.4</v>
      </c>
      <c r="G31" s="1">
        <v>3</v>
      </c>
      <c r="H31" s="1">
        <v>2</v>
      </c>
      <c r="I31" s="2">
        <f>Tabelle1[[#This Row],[Base Price]]+Tabelle1[[#This Row],[Total Selling Costs
	]]+Tabelle1[[#This Row],[DHL Costs]]+Tabelle1[[#This Row],[Handling Costs]]+Tabelle1[[#This Row],[Fixed Costs]]</f>
        <v>9.1696000000000009</v>
      </c>
      <c r="J31" s="1">
        <f>Tabelle1[[#This Row],[Net Sales Price]]-Tabelle1[[#This Row],[Variable Costs]]</f>
        <v>-0.20349830508474653</v>
      </c>
    </row>
    <row r="32" spans="1:10" x14ac:dyDescent="0.25">
      <c r="A32" s="8" t="s">
        <v>40</v>
      </c>
      <c r="B32" s="1">
        <v>19.53</v>
      </c>
      <c r="C32" s="1">
        <v>5.6</v>
      </c>
      <c r="D32" s="1">
        <f>Tabelle1[[#This Row],[Gross Sales Price]]/1.18</f>
        <v>4.7457627118644066</v>
      </c>
      <c r="E32" s="1">
        <f>Tabelle1[[#This Row],[Gross Sales Price]]*0.12</f>
        <v>0.67199999999999993</v>
      </c>
      <c r="F32" s="1">
        <v>0.4</v>
      </c>
      <c r="G32" s="1">
        <v>3</v>
      </c>
      <c r="H32" s="1">
        <v>2</v>
      </c>
      <c r="I32" s="2">
        <f>Tabelle1[[#This Row],[Base Price]]+Tabelle1[[#This Row],[Total Selling Costs
	]]+Tabelle1[[#This Row],[DHL Costs]]+Tabelle1[[#This Row],[Handling Costs]]+Tabelle1[[#This Row],[Fixed Costs]]</f>
        <v>25.602</v>
      </c>
      <c r="J32" s="1">
        <f>Tabelle1[[#This Row],[Net Sales Price]]-Tabelle1[[#This Row],[Variable Costs]]</f>
        <v>-20.856237288135596</v>
      </c>
    </row>
    <row r="33" spans="1:10" x14ac:dyDescent="0.25">
      <c r="A33" s="8" t="s">
        <v>41</v>
      </c>
      <c r="B33" s="1">
        <v>15.12</v>
      </c>
      <c r="C33" s="1">
        <v>40.619999999999997</v>
      </c>
      <c r="D33" s="1">
        <f>Tabelle1[[#This Row],[Gross Sales Price]]/1.18</f>
        <v>34.423728813559322</v>
      </c>
      <c r="E33" s="1">
        <f>Tabelle1[[#This Row],[Gross Sales Price]]*0.12</f>
        <v>4.8743999999999996</v>
      </c>
      <c r="F33" s="1">
        <v>0.4</v>
      </c>
      <c r="G33" s="1">
        <v>3</v>
      </c>
      <c r="H33" s="1">
        <v>2</v>
      </c>
      <c r="I33" s="2">
        <f>Tabelle1[[#This Row],[Base Price]]+Tabelle1[[#This Row],[Total Selling Costs
	]]+Tabelle1[[#This Row],[DHL Costs]]+Tabelle1[[#This Row],[Handling Costs]]+Tabelle1[[#This Row],[Fixed Costs]]</f>
        <v>25.394399999999997</v>
      </c>
      <c r="J33" s="1">
        <f>Tabelle1[[#This Row],[Net Sales Price]]-Tabelle1[[#This Row],[Variable Costs]]</f>
        <v>9.0293288135593244</v>
      </c>
    </row>
    <row r="34" spans="1:10" x14ac:dyDescent="0.25">
      <c r="A34" s="8" t="s">
        <v>42</v>
      </c>
      <c r="B34" s="1">
        <v>16.399999999999999</v>
      </c>
      <c r="C34" s="1">
        <v>34.78</v>
      </c>
      <c r="D34" s="1">
        <f>Tabelle1[[#This Row],[Gross Sales Price]]/1.18</f>
        <v>29.474576271186443</v>
      </c>
      <c r="E34" s="1">
        <f>Tabelle1[[#This Row],[Gross Sales Price]]*0.12</f>
        <v>4.1736000000000004</v>
      </c>
      <c r="F34" s="1">
        <v>0.4</v>
      </c>
      <c r="G34" s="1">
        <v>3</v>
      </c>
      <c r="H34" s="1">
        <v>2</v>
      </c>
      <c r="I34" s="2">
        <f>Tabelle1[[#This Row],[Base Price]]+Tabelle1[[#This Row],[Total Selling Costs
	]]+Tabelle1[[#This Row],[DHL Costs]]+Tabelle1[[#This Row],[Handling Costs]]+Tabelle1[[#This Row],[Fixed Costs]]</f>
        <v>25.973599999999998</v>
      </c>
      <c r="J34" s="1">
        <f>Tabelle1[[#This Row],[Net Sales Price]]-Tabelle1[[#This Row],[Variable Costs]]</f>
        <v>3.5009762711864454</v>
      </c>
    </row>
    <row r="35" spans="1:10" x14ac:dyDescent="0.25">
      <c r="A35" s="8" t="s">
        <v>43</v>
      </c>
      <c r="B35" s="1">
        <v>10.210000000000001</v>
      </c>
      <c r="C35" s="1">
        <v>15.54</v>
      </c>
      <c r="D35" s="1">
        <f>Tabelle1[[#This Row],[Gross Sales Price]]/1.18</f>
        <v>13.169491525423728</v>
      </c>
      <c r="E35" s="1">
        <f>Tabelle1[[#This Row],[Gross Sales Price]]*0.12</f>
        <v>1.8647999999999998</v>
      </c>
      <c r="F35" s="1">
        <v>0.4</v>
      </c>
      <c r="G35" s="1">
        <v>3</v>
      </c>
      <c r="H35" s="1">
        <v>2</v>
      </c>
      <c r="I35" s="2">
        <f>Tabelle1[[#This Row],[Base Price]]+Tabelle1[[#This Row],[Total Selling Costs
	]]+Tabelle1[[#This Row],[DHL Costs]]+Tabelle1[[#This Row],[Handling Costs]]+Tabelle1[[#This Row],[Fixed Costs]]</f>
        <v>17.474799999999998</v>
      </c>
      <c r="J35" s="1">
        <f>Tabelle1[[#This Row],[Net Sales Price]]-Tabelle1[[#This Row],[Variable Costs]]</f>
        <v>-4.30530847457627</v>
      </c>
    </row>
    <row r="36" spans="1:10" x14ac:dyDescent="0.25">
      <c r="A36" s="8" t="s">
        <v>44</v>
      </c>
      <c r="B36" s="1">
        <v>11.06</v>
      </c>
      <c r="C36" s="1">
        <v>28.6</v>
      </c>
      <c r="D36" s="1">
        <f>Tabelle1[[#This Row],[Gross Sales Price]]/1.18</f>
        <v>24.237288135593221</v>
      </c>
      <c r="E36" s="1">
        <f>Tabelle1[[#This Row],[Gross Sales Price]]*0.12</f>
        <v>3.4319999999999999</v>
      </c>
      <c r="F36" s="1">
        <v>0.4</v>
      </c>
      <c r="G36" s="1">
        <v>3</v>
      </c>
      <c r="H36" s="1">
        <v>2</v>
      </c>
      <c r="I36" s="2">
        <f>Tabelle1[[#This Row],[Base Price]]+Tabelle1[[#This Row],[Total Selling Costs
	]]+Tabelle1[[#This Row],[DHL Costs]]+Tabelle1[[#This Row],[Handling Costs]]+Tabelle1[[#This Row],[Fixed Costs]]</f>
        <v>19.891999999999999</v>
      </c>
      <c r="J36" s="1">
        <f>Tabelle1[[#This Row],[Net Sales Price]]-Tabelle1[[#This Row],[Variable Costs]]</f>
        <v>4.345288135593222</v>
      </c>
    </row>
    <row r="37" spans="1:10" x14ac:dyDescent="0.25">
      <c r="A37" s="8" t="s">
        <v>45</v>
      </c>
      <c r="B37" s="1">
        <v>13.06</v>
      </c>
      <c r="C37" s="1">
        <v>32.619999999999997</v>
      </c>
      <c r="D37" s="1">
        <f>Tabelle1[[#This Row],[Gross Sales Price]]/1.18</f>
        <v>27.64406779661017</v>
      </c>
      <c r="E37" s="1">
        <f>Tabelle1[[#This Row],[Gross Sales Price]]*0.12</f>
        <v>3.9143999999999997</v>
      </c>
      <c r="F37" s="1">
        <v>0.4</v>
      </c>
      <c r="G37" s="1">
        <v>3</v>
      </c>
      <c r="H37" s="1">
        <v>2</v>
      </c>
      <c r="I37" s="2">
        <f>Tabelle1[[#This Row],[Base Price]]+Tabelle1[[#This Row],[Total Selling Costs
	]]+Tabelle1[[#This Row],[DHL Costs]]+Tabelle1[[#This Row],[Handling Costs]]+Tabelle1[[#This Row],[Fixed Costs]]</f>
        <v>22.374399999999998</v>
      </c>
      <c r="J37" s="1">
        <f>Tabelle1[[#This Row],[Net Sales Price]]-Tabelle1[[#This Row],[Variable Costs]]</f>
        <v>5.2696677966101717</v>
      </c>
    </row>
    <row r="38" spans="1:10" x14ac:dyDescent="0.25">
      <c r="A38" s="8" t="s">
        <v>46</v>
      </c>
      <c r="B38" s="1">
        <v>11.42</v>
      </c>
      <c r="C38" s="1">
        <v>38.57</v>
      </c>
      <c r="D38" s="1">
        <f>Tabelle1[[#This Row],[Gross Sales Price]]/1.18</f>
        <v>32.686440677966104</v>
      </c>
      <c r="E38" s="1">
        <f>Tabelle1[[#This Row],[Gross Sales Price]]*0.12</f>
        <v>4.6284000000000001</v>
      </c>
      <c r="F38" s="1">
        <v>0.4</v>
      </c>
      <c r="G38" s="1">
        <v>3</v>
      </c>
      <c r="H38" s="1">
        <v>2</v>
      </c>
      <c r="I38" s="2">
        <f>Tabelle1[[#This Row],[Base Price]]+Tabelle1[[#This Row],[Total Selling Costs
	]]+Tabelle1[[#This Row],[DHL Costs]]+Tabelle1[[#This Row],[Handling Costs]]+Tabelle1[[#This Row],[Fixed Costs]]</f>
        <v>21.448399999999999</v>
      </c>
      <c r="J38" s="2">
        <f>Tabelle1[[#This Row],[Net Sales Price]]-Tabelle1[[#This Row],[Variable Costs]]</f>
        <v>11.238040677966104</v>
      </c>
    </row>
    <row r="39" spans="1:10" x14ac:dyDescent="0.25">
      <c r="A39" s="10" t="s">
        <v>47</v>
      </c>
      <c r="B39" s="1">
        <v>1.1000000000000001</v>
      </c>
      <c r="C39" s="1">
        <v>27.68</v>
      </c>
      <c r="D39" s="1">
        <f>Tabelle1[[#This Row],[Gross Sales Price]]/1.18</f>
        <v>23.457627118644069</v>
      </c>
      <c r="E39" s="1">
        <f>Tabelle1[[#This Row],[Gross Sales Price]]*0.12</f>
        <v>3.3215999999999997</v>
      </c>
      <c r="F39" s="1">
        <v>0.4</v>
      </c>
      <c r="G39" s="1">
        <v>3</v>
      </c>
      <c r="H39" s="1">
        <v>2</v>
      </c>
      <c r="I39" s="2">
        <f>Tabelle1[[#This Row],[Base Price]]+Tabelle1[[#This Row],[Total Selling Costs
	]]+Tabelle1[[#This Row],[DHL Costs]]+Tabelle1[[#This Row],[Handling Costs]]+Tabelle1[[#This Row],[Fixed Costs]]</f>
        <v>9.8216000000000001</v>
      </c>
      <c r="J39" s="2">
        <f>Tabelle1[[#This Row],[Net Sales Price]]-Tabelle1[[#This Row],[Variable Costs]]</f>
        <v>13.636027118644069</v>
      </c>
    </row>
    <row r="40" spans="1:10" ht="16.5" customHeight="1" x14ac:dyDescent="0.25">
      <c r="A40" s="8" t="s">
        <v>48</v>
      </c>
      <c r="B40" s="1">
        <v>4.04</v>
      </c>
      <c r="C40" s="1">
        <v>10.59</v>
      </c>
      <c r="D40" s="1">
        <f>Tabelle1[[#This Row],[Gross Sales Price]]/1.18</f>
        <v>8.9745762711864412</v>
      </c>
      <c r="E40" s="1">
        <f>Tabelle1[[#This Row],[Gross Sales Price]]*0.12</f>
        <v>1.2707999999999999</v>
      </c>
      <c r="F40" s="1">
        <v>0.4</v>
      </c>
      <c r="G40" s="1">
        <v>3</v>
      </c>
      <c r="H40" s="1">
        <v>2</v>
      </c>
      <c r="I40" s="2">
        <f>Tabelle1[[#This Row],[Base Price]]+Tabelle1[[#This Row],[Total Selling Costs
	]]+Tabelle1[[#This Row],[DHL Costs]]+Tabelle1[[#This Row],[Handling Costs]]+Tabelle1[[#This Row],[Fixed Costs]]</f>
        <v>10.710800000000001</v>
      </c>
      <c r="J40" s="1">
        <f>Tabelle1[[#This Row],[Net Sales Price]]-Tabelle1[[#This Row],[Variable Costs]]</f>
        <v>-1.7362237288135596</v>
      </c>
    </row>
    <row r="41" spans="1:10" x14ac:dyDescent="0.25">
      <c r="A41" s="8" t="s">
        <v>49</v>
      </c>
      <c r="B41" s="1">
        <v>5.93</v>
      </c>
      <c r="C41" s="1">
        <v>3.63</v>
      </c>
      <c r="D41" s="1">
        <f>Tabelle1[[#This Row],[Gross Sales Price]]/1.18</f>
        <v>3.0762711864406782</v>
      </c>
      <c r="E41" s="1">
        <f>Tabelle1[[#This Row],[Gross Sales Price]]*0.12</f>
        <v>0.43559999999999999</v>
      </c>
      <c r="F41" s="1">
        <v>0.4</v>
      </c>
      <c r="G41" s="1">
        <v>3</v>
      </c>
      <c r="H41" s="1">
        <v>2</v>
      </c>
      <c r="I41" s="2">
        <f>Tabelle1[[#This Row],[Base Price]]+Tabelle1[[#This Row],[Total Selling Costs
	]]+Tabelle1[[#This Row],[DHL Costs]]+Tabelle1[[#This Row],[Handling Costs]]+Tabelle1[[#This Row],[Fixed Costs]]</f>
        <v>11.765600000000001</v>
      </c>
      <c r="J41" s="2">
        <f>Tabelle1[[#This Row],[Net Sales Price]]-Tabelle1[[#This Row],[Variable Costs]]</f>
        <v>-8.6893288135593227</v>
      </c>
    </row>
    <row r="42" spans="1:10" x14ac:dyDescent="0.25">
      <c r="A42" s="8" t="s">
        <v>50</v>
      </c>
      <c r="B42" s="1">
        <v>8.69</v>
      </c>
      <c r="C42" s="1">
        <v>10.38</v>
      </c>
      <c r="D42" s="1">
        <f>Tabelle1[[#This Row],[Gross Sales Price]]/1.18</f>
        <v>8.796610169491526</v>
      </c>
      <c r="E42" s="1">
        <f>Tabelle1[[#This Row],[Gross Sales Price]]*0.12</f>
        <v>1.2456</v>
      </c>
      <c r="F42" s="1">
        <v>0.4</v>
      </c>
      <c r="G42" s="1">
        <v>3</v>
      </c>
      <c r="H42" s="1">
        <v>2</v>
      </c>
      <c r="I42" s="2">
        <f>Tabelle1[[#This Row],[Base Price]]+Tabelle1[[#This Row],[Total Selling Costs
	]]+Tabelle1[[#This Row],[DHL Costs]]+Tabelle1[[#This Row],[Handling Costs]]+Tabelle1[[#This Row],[Fixed Costs]]</f>
        <v>15.335599999999999</v>
      </c>
      <c r="J42" s="2">
        <f>Tabelle1[[#This Row],[Net Sales Price]]-Tabelle1[[#This Row],[Variable Costs]]</f>
        <v>-6.5389898305084735</v>
      </c>
    </row>
    <row r="43" spans="1:10" x14ac:dyDescent="0.25">
      <c r="A43" s="8" t="s">
        <v>51</v>
      </c>
      <c r="B43" s="1">
        <v>15.77</v>
      </c>
      <c r="C43" s="1">
        <v>40.799999999999997</v>
      </c>
      <c r="D43" s="1">
        <f>Tabelle1[[#This Row],[Gross Sales Price]]/1.18</f>
        <v>34.576271186440678</v>
      </c>
      <c r="E43" s="1">
        <f>Tabelle1[[#This Row],[Gross Sales Price]]*0.12</f>
        <v>4.8959999999999999</v>
      </c>
      <c r="F43" s="1">
        <v>0.4</v>
      </c>
      <c r="G43" s="1">
        <v>3</v>
      </c>
      <c r="H43" s="1">
        <v>2</v>
      </c>
      <c r="I43" s="2">
        <f>Tabelle1[[#This Row],[Base Price]]+Tabelle1[[#This Row],[Total Selling Costs
	]]+Tabelle1[[#This Row],[DHL Costs]]+Tabelle1[[#This Row],[Handling Costs]]+Tabelle1[[#This Row],[Fixed Costs]]</f>
        <v>26.065999999999999</v>
      </c>
      <c r="J43" s="2">
        <f>Tabelle1[[#This Row],[Net Sales Price]]-Tabelle1[[#This Row],[Variable Costs]]</f>
        <v>8.5102711864406793</v>
      </c>
    </row>
    <row r="44" spans="1:10" x14ac:dyDescent="0.25">
      <c r="A44" s="8" t="s">
        <v>52</v>
      </c>
      <c r="B44" s="1">
        <v>18.170000000000002</v>
      </c>
      <c r="C44" s="1">
        <v>36.409999999999997</v>
      </c>
      <c r="D44" s="1">
        <f>Tabelle1[[#This Row],[Gross Sales Price]]/1.18</f>
        <v>30.85593220338983</v>
      </c>
      <c r="E44" s="1">
        <f>Tabelle1[[#This Row],[Gross Sales Price]]*0.12</f>
        <v>4.3691999999999993</v>
      </c>
      <c r="F44" s="1">
        <v>0.4</v>
      </c>
      <c r="G44" s="1">
        <v>3</v>
      </c>
      <c r="H44" s="1">
        <v>2</v>
      </c>
      <c r="I44" s="2">
        <f>Tabelle1[[#This Row],[Base Price]]+Tabelle1[[#This Row],[Total Selling Costs
	]]+Tabelle1[[#This Row],[DHL Costs]]+Tabelle1[[#This Row],[Handling Costs]]+Tabelle1[[#This Row],[Fixed Costs]]</f>
        <v>27.9392</v>
      </c>
      <c r="J44" s="1">
        <f>Tabelle1[[#This Row],[Net Sales Price]]-Tabelle1[[#This Row],[Variable Costs]]</f>
        <v>2.9167322033898309</v>
      </c>
    </row>
    <row r="45" spans="1:10" x14ac:dyDescent="0.25">
      <c r="A45" s="8" t="s">
        <v>53</v>
      </c>
      <c r="B45" s="1">
        <v>2.12</v>
      </c>
      <c r="C45" s="1">
        <v>32.24</v>
      </c>
      <c r="D45" s="1">
        <f>Tabelle1[[#This Row],[Gross Sales Price]]/1.18</f>
        <v>27.322033898305087</v>
      </c>
      <c r="E45" s="1">
        <f>Tabelle1[[#This Row],[Gross Sales Price]]*0.12</f>
        <v>3.8688000000000002</v>
      </c>
      <c r="F45" s="1">
        <v>0.4</v>
      </c>
      <c r="G45" s="1">
        <v>3</v>
      </c>
      <c r="H45" s="1">
        <v>2</v>
      </c>
      <c r="I45" s="2">
        <f>Tabelle1[[#This Row],[Base Price]]+Tabelle1[[#This Row],[Total Selling Costs
	]]+Tabelle1[[#This Row],[DHL Costs]]+Tabelle1[[#This Row],[Handling Costs]]+Tabelle1[[#This Row],[Fixed Costs]]</f>
        <v>11.388800000000002</v>
      </c>
      <c r="J45" s="2">
        <f>Tabelle1[[#This Row],[Net Sales Price]]-Tabelle1[[#This Row],[Variable Costs]]</f>
        <v>15.933233898305085</v>
      </c>
    </row>
    <row r="46" spans="1:10" x14ac:dyDescent="0.25">
      <c r="A46" s="8" t="s">
        <v>54</v>
      </c>
      <c r="B46" s="1">
        <v>9.58</v>
      </c>
      <c r="C46" s="1">
        <v>25.35</v>
      </c>
      <c r="D46" s="1">
        <f>Tabelle1[[#This Row],[Gross Sales Price]]/1.18</f>
        <v>21.48305084745763</v>
      </c>
      <c r="E46" s="1">
        <f>Tabelle1[[#This Row],[Gross Sales Price]]*0.12</f>
        <v>3.0420000000000003</v>
      </c>
      <c r="F46" s="1">
        <v>0.4</v>
      </c>
      <c r="G46" s="1">
        <v>3</v>
      </c>
      <c r="H46" s="1">
        <v>2</v>
      </c>
      <c r="I46" s="2">
        <f>Tabelle1[[#This Row],[Base Price]]+Tabelle1[[#This Row],[Total Selling Costs
	]]+Tabelle1[[#This Row],[DHL Costs]]+Tabelle1[[#This Row],[Handling Costs]]+Tabelle1[[#This Row],[Fixed Costs]]</f>
        <v>18.021999999999998</v>
      </c>
      <c r="J46" s="1">
        <f>Tabelle1[[#This Row],[Net Sales Price]]-Tabelle1[[#This Row],[Variable Costs]]</f>
        <v>3.4610508474576314</v>
      </c>
    </row>
    <row r="47" spans="1:10" x14ac:dyDescent="0.25">
      <c r="A47" s="8" t="s">
        <v>55</v>
      </c>
      <c r="B47" s="1">
        <v>4.0599999999999996</v>
      </c>
      <c r="C47" s="1">
        <v>33.76</v>
      </c>
      <c r="D47" s="1">
        <f>Tabelle1[[#This Row],[Gross Sales Price]]/1.18</f>
        <v>28.610169491525422</v>
      </c>
      <c r="E47" s="1">
        <f>Tabelle1[[#This Row],[Gross Sales Price]]*0.12</f>
        <v>4.0511999999999997</v>
      </c>
      <c r="F47" s="1">
        <v>0.4</v>
      </c>
      <c r="G47" s="1">
        <v>3</v>
      </c>
      <c r="H47" s="1">
        <v>2</v>
      </c>
      <c r="I47" s="2">
        <f>Tabelle1[[#This Row],[Base Price]]+Tabelle1[[#This Row],[Total Selling Costs
	]]+Tabelle1[[#This Row],[DHL Costs]]+Tabelle1[[#This Row],[Handling Costs]]+Tabelle1[[#This Row],[Fixed Costs]]</f>
        <v>13.511200000000001</v>
      </c>
      <c r="J47" s="1">
        <f>Tabelle1[[#This Row],[Net Sales Price]]-Tabelle1[[#This Row],[Variable Costs]]</f>
        <v>15.098969491525422</v>
      </c>
    </row>
    <row r="48" spans="1:10" x14ac:dyDescent="0.25">
      <c r="A48" s="8" t="s">
        <v>56</v>
      </c>
      <c r="B48" s="1">
        <v>2.71</v>
      </c>
      <c r="C48" s="1">
        <v>7.73</v>
      </c>
      <c r="D48" s="1">
        <f>Tabelle1[[#This Row],[Gross Sales Price]]/1.18</f>
        <v>6.5508474576271194</v>
      </c>
      <c r="E48" s="1">
        <f>Tabelle1[[#This Row],[Gross Sales Price]]*0.12</f>
        <v>0.92759999999999998</v>
      </c>
      <c r="F48" s="1">
        <v>0.4</v>
      </c>
      <c r="G48" s="1">
        <v>3</v>
      </c>
      <c r="H48" s="1">
        <v>2</v>
      </c>
      <c r="I48" s="2">
        <f>Tabelle1[[#This Row],[Base Price]]+Tabelle1[[#This Row],[Total Selling Costs
	]]+Tabelle1[[#This Row],[DHL Costs]]+Tabelle1[[#This Row],[Handling Costs]]+Tabelle1[[#This Row],[Fixed Costs]]</f>
        <v>9.0375999999999994</v>
      </c>
      <c r="J48" s="1">
        <f>Tabelle1[[#This Row],[Net Sales Price]]-Tabelle1[[#This Row],[Variable Costs]]</f>
        <v>-2.48675254237288</v>
      </c>
    </row>
    <row r="49" spans="1:10" x14ac:dyDescent="0.25">
      <c r="A49" s="8" t="s">
        <v>57</v>
      </c>
      <c r="B49" s="1">
        <v>4.37</v>
      </c>
      <c r="C49" s="1">
        <v>39.06</v>
      </c>
      <c r="D49" s="1">
        <f>Tabelle1[[#This Row],[Gross Sales Price]]/1.18</f>
        <v>33.101694915254242</v>
      </c>
      <c r="E49" s="1">
        <f>Tabelle1[[#This Row],[Gross Sales Price]]*0.12</f>
        <v>4.6871999999999998</v>
      </c>
      <c r="F49" s="1">
        <v>0.4</v>
      </c>
      <c r="G49" s="1">
        <v>3</v>
      </c>
      <c r="H49" s="1">
        <v>2</v>
      </c>
      <c r="I49" s="2">
        <f>Tabelle1[[#This Row],[Base Price]]+Tabelle1[[#This Row],[Total Selling Costs
	]]+Tabelle1[[#This Row],[DHL Costs]]+Tabelle1[[#This Row],[Handling Costs]]+Tabelle1[[#This Row],[Fixed Costs]]</f>
        <v>14.4572</v>
      </c>
      <c r="J49" s="1">
        <f>Tabelle1[[#This Row],[Net Sales Price]]-Tabelle1[[#This Row],[Variable Costs]]</f>
        <v>18.644494915254242</v>
      </c>
    </row>
    <row r="50" spans="1:10" x14ac:dyDescent="0.25">
      <c r="A50" s="8" t="s">
        <v>58</v>
      </c>
      <c r="B50" s="1">
        <v>5.63</v>
      </c>
      <c r="C50" s="1">
        <v>9.75</v>
      </c>
      <c r="D50" s="1">
        <f>Tabelle1[[#This Row],[Gross Sales Price]]/1.18</f>
        <v>8.2627118644067803</v>
      </c>
      <c r="E50" s="1">
        <f>Tabelle1[[#This Row],[Gross Sales Price]]*0.12</f>
        <v>1.17</v>
      </c>
      <c r="F50" s="1">
        <v>0.4</v>
      </c>
      <c r="G50" s="1">
        <v>3</v>
      </c>
      <c r="H50" s="1">
        <v>2</v>
      </c>
      <c r="I50" s="2">
        <f>Tabelle1[[#This Row],[Base Price]]+Tabelle1[[#This Row],[Total Selling Costs
	]]+Tabelle1[[#This Row],[DHL Costs]]+Tabelle1[[#This Row],[Handling Costs]]+Tabelle1[[#This Row],[Fixed Costs]]</f>
        <v>12.200000000000001</v>
      </c>
      <c r="J50" s="1">
        <f>Tabelle1[[#This Row],[Net Sales Price]]-Tabelle1[[#This Row],[Variable Costs]]</f>
        <v>-3.9372881355932208</v>
      </c>
    </row>
    <row r="51" spans="1:10" x14ac:dyDescent="0.25">
      <c r="A51" s="8" t="s">
        <v>59</v>
      </c>
      <c r="B51" s="1">
        <v>19.05</v>
      </c>
      <c r="C51" s="1">
        <v>19.920000000000002</v>
      </c>
      <c r="D51" s="1">
        <f>Tabelle1[[#This Row],[Gross Sales Price]]/1.18</f>
        <v>16.881355932203391</v>
      </c>
      <c r="E51" s="1">
        <f>Tabelle1[[#This Row],[Gross Sales Price]]*0.12</f>
        <v>2.3904000000000001</v>
      </c>
      <c r="F51" s="1">
        <v>0.4</v>
      </c>
      <c r="G51" s="1">
        <v>3</v>
      </c>
      <c r="H51" s="1">
        <v>2</v>
      </c>
      <c r="I51" s="2">
        <f>Tabelle1[[#This Row],[Base Price]]+Tabelle1[[#This Row],[Total Selling Costs
	]]+Tabelle1[[#This Row],[DHL Costs]]+Tabelle1[[#This Row],[Handling Costs]]+Tabelle1[[#This Row],[Fixed Costs]]</f>
        <v>26.840399999999999</v>
      </c>
      <c r="J51" s="1">
        <f>Tabelle1[[#This Row],[Net Sales Price]]-Tabelle1[[#This Row],[Variable Costs]]</f>
        <v>-9.9590440677966079</v>
      </c>
    </row>
    <row r="52" spans="1:10" x14ac:dyDescent="0.25">
      <c r="A52" s="8" t="s">
        <v>60</v>
      </c>
      <c r="B52" s="1">
        <v>16.600000000000001</v>
      </c>
      <c r="C52" s="1">
        <v>7.87</v>
      </c>
      <c r="D52" s="1">
        <f>Tabelle1[[#This Row],[Gross Sales Price]]/1.18</f>
        <v>6.6694915254237293</v>
      </c>
      <c r="E52" s="1">
        <f>Tabelle1[[#This Row],[Gross Sales Price]]*0.12</f>
        <v>0.94440000000000002</v>
      </c>
      <c r="F52" s="1">
        <v>0.4</v>
      </c>
      <c r="G52" s="1">
        <v>3</v>
      </c>
      <c r="H52" s="1">
        <v>2</v>
      </c>
      <c r="I52" s="2">
        <f>Tabelle1[[#This Row],[Base Price]]+Tabelle1[[#This Row],[Total Selling Costs
	]]+Tabelle1[[#This Row],[DHL Costs]]+Tabelle1[[#This Row],[Handling Costs]]+Tabelle1[[#This Row],[Fixed Costs]]</f>
        <v>22.944400000000002</v>
      </c>
      <c r="J52" s="1">
        <f>Tabelle1[[#This Row],[Net Sales Price]]-Tabelle1[[#This Row],[Variable Costs]]</f>
        <v>-16.274908474576272</v>
      </c>
    </row>
    <row r="53" spans="1:10" x14ac:dyDescent="0.25">
      <c r="A53" s="8" t="s">
        <v>61</v>
      </c>
      <c r="B53" s="1">
        <v>19.68</v>
      </c>
      <c r="C53" s="1">
        <v>13.64</v>
      </c>
      <c r="D53" s="1">
        <f>Tabelle1[[#This Row],[Gross Sales Price]]/1.18</f>
        <v>11.559322033898306</v>
      </c>
      <c r="E53" s="1">
        <f>Tabelle1[[#This Row],[Gross Sales Price]]*0.12</f>
        <v>1.6368</v>
      </c>
      <c r="F53" s="1">
        <v>0.4</v>
      </c>
      <c r="G53" s="1">
        <v>3</v>
      </c>
      <c r="H53" s="1">
        <v>2</v>
      </c>
      <c r="I53" s="2">
        <f>Tabelle1[[#This Row],[Base Price]]+Tabelle1[[#This Row],[Total Selling Costs
	]]+Tabelle1[[#This Row],[DHL Costs]]+Tabelle1[[#This Row],[Handling Costs]]+Tabelle1[[#This Row],[Fixed Costs]]</f>
        <v>26.716799999999999</v>
      </c>
      <c r="J53" s="1">
        <f>Tabelle1[[#This Row],[Net Sales Price]]-Tabelle1[[#This Row],[Variable Costs]]</f>
        <v>-15.157477966101693</v>
      </c>
    </row>
    <row r="54" spans="1:10" x14ac:dyDescent="0.25">
      <c r="A54" s="8" t="s">
        <v>62</v>
      </c>
      <c r="B54" s="1">
        <v>5.45</v>
      </c>
      <c r="C54" s="1">
        <v>33.94</v>
      </c>
      <c r="D54" s="1">
        <f>Tabelle1[[#This Row],[Gross Sales Price]]/1.18</f>
        <v>28.762711864406779</v>
      </c>
      <c r="E54" s="1">
        <f>Tabelle1[[#This Row],[Gross Sales Price]]*0.12</f>
        <v>4.0728</v>
      </c>
      <c r="F54" s="1">
        <v>0.4</v>
      </c>
      <c r="G54" s="1">
        <v>3</v>
      </c>
      <c r="H54" s="1">
        <v>2</v>
      </c>
      <c r="I54" s="2">
        <f>Tabelle1[[#This Row],[Base Price]]+Tabelle1[[#This Row],[Total Selling Costs
	]]+Tabelle1[[#This Row],[DHL Costs]]+Tabelle1[[#This Row],[Handling Costs]]+Tabelle1[[#This Row],[Fixed Costs]]</f>
        <v>14.922800000000001</v>
      </c>
      <c r="J54" s="1">
        <f>Tabelle1[[#This Row],[Net Sales Price]]-Tabelle1[[#This Row],[Variable Costs]]</f>
        <v>13.839911864406778</v>
      </c>
    </row>
    <row r="55" spans="1:10" x14ac:dyDescent="0.25">
      <c r="A55" s="8" t="s">
        <v>63</v>
      </c>
      <c r="B55" s="1">
        <v>9</v>
      </c>
      <c r="C55" s="1">
        <v>15.3</v>
      </c>
      <c r="D55" s="1">
        <f>Tabelle1[[#This Row],[Gross Sales Price]]/1.18</f>
        <v>12.966101694915256</v>
      </c>
      <c r="E55" s="1">
        <f>Tabelle1[[#This Row],[Gross Sales Price]]*0.12</f>
        <v>1.8360000000000001</v>
      </c>
      <c r="F55" s="1">
        <v>0.4</v>
      </c>
      <c r="G55" s="1">
        <v>3</v>
      </c>
      <c r="H55" s="1">
        <v>2</v>
      </c>
      <c r="I55" s="2">
        <f>Tabelle1[[#This Row],[Base Price]]+Tabelle1[[#This Row],[Total Selling Costs
	]]+Tabelle1[[#This Row],[DHL Costs]]+Tabelle1[[#This Row],[Handling Costs]]+Tabelle1[[#This Row],[Fixed Costs]]</f>
        <v>16.236000000000001</v>
      </c>
      <c r="J55" s="1">
        <f>Tabelle1[[#This Row],[Net Sales Price]]-Tabelle1[[#This Row],[Variable Costs]]</f>
        <v>-3.2698983050847445</v>
      </c>
    </row>
    <row r="56" spans="1:10" x14ac:dyDescent="0.25">
      <c r="A56" s="8" t="s">
        <v>64</v>
      </c>
      <c r="B56" s="1">
        <v>5.22</v>
      </c>
      <c r="C56" s="1">
        <v>24.91</v>
      </c>
      <c r="D56" s="1">
        <f>Tabelle1[[#This Row],[Gross Sales Price]]/1.18</f>
        <v>21.110169491525426</v>
      </c>
      <c r="E56" s="1">
        <f>Tabelle1[[#This Row],[Gross Sales Price]]*0.12</f>
        <v>2.9891999999999999</v>
      </c>
      <c r="F56" s="1">
        <v>0.4</v>
      </c>
      <c r="G56" s="1">
        <v>3</v>
      </c>
      <c r="H56" s="1">
        <v>2</v>
      </c>
      <c r="I56" s="2">
        <f>Tabelle1[[#This Row],[Base Price]]+Tabelle1[[#This Row],[Total Selling Costs
	]]+Tabelle1[[#This Row],[DHL Costs]]+Tabelle1[[#This Row],[Handling Costs]]+Tabelle1[[#This Row],[Fixed Costs]]</f>
        <v>13.6092</v>
      </c>
      <c r="J56" s="1">
        <f>Tabelle1[[#This Row],[Net Sales Price]]-Tabelle1[[#This Row],[Variable Costs]]</f>
        <v>7.5009694915254261</v>
      </c>
    </row>
    <row r="57" spans="1:10" x14ac:dyDescent="0.25">
      <c r="A57" s="8" t="s">
        <v>65</v>
      </c>
      <c r="B57" s="1">
        <v>3.52</v>
      </c>
      <c r="C57" s="1">
        <v>1.73</v>
      </c>
      <c r="D57" s="1">
        <f>Tabelle1[[#This Row],[Gross Sales Price]]/1.18</f>
        <v>1.4661016949152543</v>
      </c>
      <c r="E57" s="1">
        <f>Tabelle1[[#This Row],[Gross Sales Price]]*0.12</f>
        <v>0.20759999999999998</v>
      </c>
      <c r="F57" s="1">
        <v>0.4</v>
      </c>
      <c r="G57" s="1">
        <v>3</v>
      </c>
      <c r="H57" s="1">
        <v>2</v>
      </c>
      <c r="I57" s="2">
        <f>Tabelle1[[#This Row],[Base Price]]+Tabelle1[[#This Row],[Total Selling Costs
	]]+Tabelle1[[#This Row],[DHL Costs]]+Tabelle1[[#This Row],[Handling Costs]]+Tabelle1[[#This Row],[Fixed Costs]]</f>
        <v>9.1275999999999993</v>
      </c>
      <c r="J57" s="1">
        <f>Tabelle1[[#This Row],[Net Sales Price]]-Tabelle1[[#This Row],[Variable Costs]]</f>
        <v>-7.6614983050847449</v>
      </c>
    </row>
    <row r="58" spans="1:10" x14ac:dyDescent="0.25">
      <c r="A58" s="8" t="s">
        <v>66</v>
      </c>
      <c r="B58" s="1">
        <v>17.62</v>
      </c>
      <c r="C58" s="1">
        <v>15.16</v>
      </c>
      <c r="D58" s="1">
        <f>Tabelle1[[#This Row],[Gross Sales Price]]/1.18</f>
        <v>12.847457627118645</v>
      </c>
      <c r="E58" s="1">
        <f>Tabelle1[[#This Row],[Gross Sales Price]]*0.12</f>
        <v>1.8191999999999999</v>
      </c>
      <c r="F58" s="1">
        <v>0.4</v>
      </c>
      <c r="G58" s="1">
        <v>3</v>
      </c>
      <c r="H58" s="1">
        <v>2</v>
      </c>
      <c r="I58" s="2">
        <f>Tabelle1[[#This Row],[Base Price]]+Tabelle1[[#This Row],[Total Selling Costs
	]]+Tabelle1[[#This Row],[DHL Costs]]+Tabelle1[[#This Row],[Handling Costs]]+Tabelle1[[#This Row],[Fixed Costs]]</f>
        <v>24.839199999999998</v>
      </c>
      <c r="J58" s="1">
        <f>Tabelle1[[#This Row],[Net Sales Price]]-Tabelle1[[#This Row],[Variable Costs]]</f>
        <v>-11.991742372881353</v>
      </c>
    </row>
    <row r="59" spans="1:10" x14ac:dyDescent="0.25">
      <c r="A59" s="8" t="s">
        <v>67</v>
      </c>
      <c r="B59" s="1">
        <v>12.51</v>
      </c>
      <c r="C59" s="1">
        <v>26.6</v>
      </c>
      <c r="D59" s="1">
        <f>Tabelle1[[#This Row],[Gross Sales Price]]/1.18</f>
        <v>22.542372881355934</v>
      </c>
      <c r="E59" s="1">
        <f>Tabelle1[[#This Row],[Gross Sales Price]]*0.12</f>
        <v>3.1920000000000002</v>
      </c>
      <c r="F59" s="1">
        <v>0.4</v>
      </c>
      <c r="G59" s="1">
        <v>3</v>
      </c>
      <c r="H59" s="1">
        <v>2</v>
      </c>
      <c r="I59" s="2">
        <f>Tabelle1[[#This Row],[Base Price]]+Tabelle1[[#This Row],[Total Selling Costs
	]]+Tabelle1[[#This Row],[DHL Costs]]+Tabelle1[[#This Row],[Handling Costs]]+Tabelle1[[#This Row],[Fixed Costs]]</f>
        <v>21.101999999999997</v>
      </c>
      <c r="J59" s="1">
        <f>Tabelle1[[#This Row],[Net Sales Price]]-Tabelle1[[#This Row],[Variable Costs]]</f>
        <v>1.4403728813559376</v>
      </c>
    </row>
    <row r="60" spans="1:10" x14ac:dyDescent="0.25">
      <c r="A60" s="8" t="s">
        <v>68</v>
      </c>
      <c r="B60" s="1">
        <v>16.260000000000002</v>
      </c>
      <c r="C60" s="1">
        <v>36.1</v>
      </c>
      <c r="D60" s="1">
        <f>Tabelle1[[#This Row],[Gross Sales Price]]/1.18</f>
        <v>30.593220338983052</v>
      </c>
      <c r="E60" s="1">
        <f>Tabelle1[[#This Row],[Gross Sales Price]]*0.12</f>
        <v>4.3319999999999999</v>
      </c>
      <c r="F60" s="1">
        <v>0.4</v>
      </c>
      <c r="G60" s="1">
        <v>3</v>
      </c>
      <c r="H60" s="1">
        <v>2</v>
      </c>
      <c r="I60" s="2">
        <f>Tabelle1[[#This Row],[Base Price]]+Tabelle1[[#This Row],[Total Selling Costs
	]]+Tabelle1[[#This Row],[DHL Costs]]+Tabelle1[[#This Row],[Handling Costs]]+Tabelle1[[#This Row],[Fixed Costs]]</f>
        <v>25.992000000000001</v>
      </c>
      <c r="J60" s="1">
        <f>Tabelle1[[#This Row],[Net Sales Price]]-Tabelle1[[#This Row],[Variable Costs]]</f>
        <v>4.6012203389830511</v>
      </c>
    </row>
    <row r="61" spans="1:10" x14ac:dyDescent="0.25">
      <c r="A61" s="8" t="s">
        <v>69</v>
      </c>
      <c r="B61" s="1">
        <v>16.22</v>
      </c>
      <c r="C61" s="1">
        <v>28.57</v>
      </c>
      <c r="D61" s="1">
        <f>Tabelle1[[#This Row],[Gross Sales Price]]/1.18</f>
        <v>24.211864406779661</v>
      </c>
      <c r="E61" s="1">
        <f>Tabelle1[[#This Row],[Gross Sales Price]]*0.12</f>
        <v>3.4283999999999999</v>
      </c>
      <c r="F61" s="1">
        <v>0.4</v>
      </c>
      <c r="G61" s="1">
        <v>3</v>
      </c>
      <c r="H61" s="1">
        <v>2</v>
      </c>
      <c r="I61" s="2">
        <f>Tabelle1[[#This Row],[Base Price]]+Tabelle1[[#This Row],[Total Selling Costs
	]]+Tabelle1[[#This Row],[DHL Costs]]+Tabelle1[[#This Row],[Handling Costs]]+Tabelle1[[#This Row],[Fixed Costs]]</f>
        <v>25.048399999999997</v>
      </c>
      <c r="J61" s="1">
        <f>Tabelle1[[#This Row],[Net Sales Price]]-Tabelle1[[#This Row],[Variable Costs]]</f>
        <v>-0.83653559322033644</v>
      </c>
    </row>
    <row r="62" spans="1:10" x14ac:dyDescent="0.25">
      <c r="A62" s="8" t="s">
        <v>70</v>
      </c>
      <c r="B62" s="1">
        <v>16.21</v>
      </c>
      <c r="C62" s="1">
        <v>34.18</v>
      </c>
      <c r="D62" s="1">
        <f>Tabelle1[[#This Row],[Gross Sales Price]]/1.18</f>
        <v>28.966101694915256</v>
      </c>
      <c r="E62" s="1">
        <f>Tabelle1[[#This Row],[Gross Sales Price]]*0.12</f>
        <v>4.1015999999999995</v>
      </c>
      <c r="F62" s="1">
        <v>0.4</v>
      </c>
      <c r="G62" s="1">
        <v>3</v>
      </c>
      <c r="H62" s="1">
        <v>2</v>
      </c>
      <c r="I62" s="2">
        <f>Tabelle1[[#This Row],[Base Price]]+Tabelle1[[#This Row],[Total Selling Costs
	]]+Tabelle1[[#This Row],[DHL Costs]]+Tabelle1[[#This Row],[Handling Costs]]+Tabelle1[[#This Row],[Fixed Costs]]</f>
        <v>25.711599999999997</v>
      </c>
      <c r="J62" s="2">
        <f>Tabelle1[[#This Row],[Net Sales Price]]-Tabelle1[[#This Row],[Variable Costs]]</f>
        <v>3.254501694915259</v>
      </c>
    </row>
    <row r="63" spans="1:10" x14ac:dyDescent="0.25">
      <c r="A63" s="9" t="s">
        <v>71</v>
      </c>
      <c r="B63" s="1">
        <v>19.420000000000002</v>
      </c>
      <c r="C63" s="1">
        <v>19.73</v>
      </c>
      <c r="D63" s="1">
        <f>Tabelle1[[#This Row],[Gross Sales Price]]/1.18</f>
        <v>16.720338983050848</v>
      </c>
      <c r="E63" s="1">
        <f>Tabelle1[[#This Row],[Gross Sales Price]]*0.12</f>
        <v>2.3675999999999999</v>
      </c>
      <c r="F63" s="1">
        <v>0.4</v>
      </c>
      <c r="G63" s="1">
        <v>3</v>
      </c>
      <c r="H63" s="1">
        <v>2</v>
      </c>
      <c r="I63" s="2">
        <f>Tabelle1[[#This Row],[Base Price]]+Tabelle1[[#This Row],[Total Selling Costs
	]]+Tabelle1[[#This Row],[DHL Costs]]+Tabelle1[[#This Row],[Handling Costs]]+Tabelle1[[#This Row],[Fixed Costs]]</f>
        <v>27.1876</v>
      </c>
      <c r="J63" s="2">
        <f>Tabelle1[[#This Row],[Net Sales Price]]-Tabelle1[[#This Row],[Variable Costs]]</f>
        <v>-10.467261016949152</v>
      </c>
    </row>
    <row r="64" spans="1:10" x14ac:dyDescent="0.25">
      <c r="A64" s="8" t="s">
        <v>72</v>
      </c>
      <c r="B64" s="1">
        <v>1.1100000000000001</v>
      </c>
      <c r="C64" s="1">
        <v>25.49</v>
      </c>
      <c r="D64" s="1">
        <f>Tabelle1[[#This Row],[Gross Sales Price]]/1.18</f>
        <v>21.601694915254239</v>
      </c>
      <c r="E64" s="1">
        <f>Tabelle1[[#This Row],[Gross Sales Price]]*0.12</f>
        <v>3.0587999999999997</v>
      </c>
      <c r="F64" s="1">
        <v>0.4</v>
      </c>
      <c r="G64" s="1">
        <v>3</v>
      </c>
      <c r="H64" s="1">
        <v>2</v>
      </c>
      <c r="I64" s="2">
        <f>Tabelle1[[#This Row],[Base Price]]+Tabelle1[[#This Row],[Total Selling Costs
	]]+Tabelle1[[#This Row],[DHL Costs]]+Tabelle1[[#This Row],[Handling Costs]]+Tabelle1[[#This Row],[Fixed Costs]]</f>
        <v>9.5688000000000013</v>
      </c>
      <c r="J64" s="2">
        <f>Tabelle1[[#This Row],[Net Sales Price]]-Tabelle1[[#This Row],[Variable Costs]]</f>
        <v>12.032894915254237</v>
      </c>
    </row>
    <row r="65" spans="1:10" ht="14.25" customHeight="1" x14ac:dyDescent="0.25">
      <c r="A65" s="8" t="s">
        <v>73</v>
      </c>
      <c r="B65" s="1">
        <v>1.99</v>
      </c>
      <c r="C65" s="1">
        <v>29.95</v>
      </c>
      <c r="D65" s="1">
        <f>Tabelle1[[#This Row],[Gross Sales Price]]/1.18</f>
        <v>25.381355932203391</v>
      </c>
      <c r="E65" s="1">
        <f>Tabelle1[[#This Row],[Gross Sales Price]]*0.12</f>
        <v>3.5939999999999999</v>
      </c>
      <c r="F65" s="1">
        <v>0.4</v>
      </c>
      <c r="G65" s="1">
        <v>3</v>
      </c>
      <c r="H65" s="1">
        <v>2</v>
      </c>
      <c r="I65" s="2">
        <f>Tabelle1[[#This Row],[Base Price]]+Tabelle1[[#This Row],[Total Selling Costs
	]]+Tabelle1[[#This Row],[DHL Costs]]+Tabelle1[[#This Row],[Handling Costs]]+Tabelle1[[#This Row],[Fixed Costs]]</f>
        <v>10.984</v>
      </c>
      <c r="J65" s="1">
        <f>Tabelle1[[#This Row],[Net Sales Price]]-Tabelle1[[#This Row],[Variable Costs]]</f>
        <v>14.397355932203391</v>
      </c>
    </row>
    <row r="66" spans="1:10" ht="14.25" customHeight="1" x14ac:dyDescent="0.25">
      <c r="A66" s="8" t="s">
        <v>74</v>
      </c>
      <c r="B66" s="1">
        <v>13.1</v>
      </c>
      <c r="C66" s="1">
        <v>25.27</v>
      </c>
      <c r="D66" s="1">
        <f>Tabelle1[[#This Row],[Gross Sales Price]]/1.18</f>
        <v>21.415254237288135</v>
      </c>
      <c r="E66" s="1">
        <f>Tabelle1[[#This Row],[Gross Sales Price]]*0.12</f>
        <v>3.0324</v>
      </c>
      <c r="F66" s="1">
        <v>0.4</v>
      </c>
      <c r="G66" s="1">
        <v>3</v>
      </c>
      <c r="H66" s="1">
        <v>2</v>
      </c>
      <c r="I66" s="2">
        <f>Tabelle1[[#This Row],[Base Price]]+Tabelle1[[#This Row],[Total Selling Costs
	]]+Tabelle1[[#This Row],[DHL Costs]]+Tabelle1[[#This Row],[Handling Costs]]+Tabelle1[[#This Row],[Fixed Costs]]</f>
        <v>21.532399999999999</v>
      </c>
      <c r="J66" s="1">
        <f>Tabelle1[[#This Row],[Net Sales Price]]-Tabelle1[[#This Row],[Variable Costs]]</f>
        <v>-0.11714576271186417</v>
      </c>
    </row>
    <row r="67" spans="1:10" ht="14.25" customHeight="1" x14ac:dyDescent="0.25">
      <c r="A67" s="8" t="s">
        <v>75</v>
      </c>
      <c r="B67" s="1">
        <v>6.11</v>
      </c>
      <c r="C67" s="1">
        <v>7.74</v>
      </c>
      <c r="D67" s="1">
        <f>Tabelle1[[#This Row],[Gross Sales Price]]/1.18</f>
        <v>6.5593220338983054</v>
      </c>
      <c r="E67" s="1">
        <f>Tabelle1[[#This Row],[Gross Sales Price]]*0.12</f>
        <v>0.92879999999999996</v>
      </c>
      <c r="F67" s="1">
        <v>0.4</v>
      </c>
      <c r="G67" s="1">
        <v>3</v>
      </c>
      <c r="H67" s="1">
        <v>2</v>
      </c>
      <c r="I67" s="2">
        <f>Tabelle1[[#This Row],[Base Price]]+Tabelle1[[#This Row],[Total Selling Costs
	]]+Tabelle1[[#This Row],[DHL Costs]]+Tabelle1[[#This Row],[Handling Costs]]+Tabelle1[[#This Row],[Fixed Costs]]</f>
        <v>12.438800000000001</v>
      </c>
      <c r="J67" s="2">
        <f>Tabelle1[[#This Row],[Net Sales Price]]-Tabelle1[[#This Row],[Variable Costs]]</f>
        <v>-5.8794779661016952</v>
      </c>
    </row>
    <row r="68" spans="1:10" ht="14.25" customHeight="1" x14ac:dyDescent="0.25">
      <c r="A68" s="8" t="s">
        <v>76</v>
      </c>
      <c r="B68" s="1">
        <v>15.36</v>
      </c>
      <c r="C68" s="1">
        <v>36.21</v>
      </c>
      <c r="D68" s="1">
        <f>Tabelle1[[#This Row],[Gross Sales Price]]/1.18</f>
        <v>30.686440677966104</v>
      </c>
      <c r="E68" s="1">
        <f>Tabelle1[[#This Row],[Gross Sales Price]]*0.12</f>
        <v>4.3452000000000002</v>
      </c>
      <c r="F68" s="1">
        <v>0.4</v>
      </c>
      <c r="G68" s="1">
        <v>3</v>
      </c>
      <c r="H68" s="1">
        <v>2</v>
      </c>
      <c r="I68" s="2">
        <f>Tabelle1[[#This Row],[Base Price]]+Tabelle1[[#This Row],[Total Selling Costs
	]]+Tabelle1[[#This Row],[DHL Costs]]+Tabelle1[[#This Row],[Handling Costs]]+Tabelle1[[#This Row],[Fixed Costs]]</f>
        <v>25.105199999999996</v>
      </c>
      <c r="J68" s="1">
        <f>Tabelle1[[#This Row],[Net Sales Price]]-Tabelle1[[#This Row],[Variable Costs]]</f>
        <v>5.5812406779661075</v>
      </c>
    </row>
    <row r="69" spans="1:10" ht="14.25" customHeight="1" x14ac:dyDescent="0.25">
      <c r="A69" s="8" t="s">
        <v>77</v>
      </c>
      <c r="B69" s="1">
        <v>14.34</v>
      </c>
      <c r="C69" s="1">
        <v>14.85</v>
      </c>
      <c r="D69" s="1">
        <f>Tabelle1[[#This Row],[Gross Sales Price]]/1.18</f>
        <v>12.584745762711865</v>
      </c>
      <c r="E69" s="1">
        <f>Tabelle1[[#This Row],[Gross Sales Price]]*0.12</f>
        <v>1.7819999999999998</v>
      </c>
      <c r="F69" s="1">
        <v>0.4</v>
      </c>
      <c r="G69" s="1">
        <v>3</v>
      </c>
      <c r="H69" s="1">
        <v>2</v>
      </c>
      <c r="I69" s="2">
        <f>Tabelle1[[#This Row],[Base Price]]+Tabelle1[[#This Row],[Total Selling Costs
	]]+Tabelle1[[#This Row],[DHL Costs]]+Tabelle1[[#This Row],[Handling Costs]]+Tabelle1[[#This Row],[Fixed Costs]]</f>
        <v>21.521999999999998</v>
      </c>
      <c r="J69" s="1">
        <f>Tabelle1[[#This Row],[Net Sales Price]]-Tabelle1[[#This Row],[Variable Costs]]</f>
        <v>-8.9372542372881334</v>
      </c>
    </row>
    <row r="70" spans="1:10" ht="14.25" customHeight="1" x14ac:dyDescent="0.25">
      <c r="A70" s="9" t="s">
        <v>78</v>
      </c>
      <c r="B70" s="1">
        <v>16.64</v>
      </c>
      <c r="C70" s="1">
        <v>24.92</v>
      </c>
      <c r="D70" s="1">
        <f>Tabelle1[[#This Row],[Gross Sales Price]]/1.18</f>
        <v>21.118644067796613</v>
      </c>
      <c r="E70" s="1">
        <f>Tabelle1[[#This Row],[Gross Sales Price]]*0.12</f>
        <v>2.9904000000000002</v>
      </c>
      <c r="F70" s="1">
        <v>0.4</v>
      </c>
      <c r="G70" s="1">
        <v>3</v>
      </c>
      <c r="H70" s="1">
        <v>2</v>
      </c>
      <c r="I70" s="2">
        <f>Tabelle1[[#This Row],[Base Price]]+Tabelle1[[#This Row],[Total Selling Costs
	]]+Tabelle1[[#This Row],[DHL Costs]]+Tabelle1[[#This Row],[Handling Costs]]+Tabelle1[[#This Row],[Fixed Costs]]</f>
        <v>25.0304</v>
      </c>
      <c r="J70" s="2">
        <f>Tabelle1[[#This Row],[Net Sales Price]]-Tabelle1[[#This Row],[Variable Costs]]</f>
        <v>-3.9117559322033877</v>
      </c>
    </row>
    <row r="71" spans="1:10" ht="14.25" customHeight="1" x14ac:dyDescent="0.25">
      <c r="A71" s="8" t="s">
        <v>79</v>
      </c>
      <c r="B71" s="1">
        <v>8.34</v>
      </c>
      <c r="C71" s="1">
        <v>30.69</v>
      </c>
      <c r="D71" s="1">
        <f>Tabelle1[[#This Row],[Gross Sales Price]]/1.18</f>
        <v>26.00847457627119</v>
      </c>
      <c r="E71" s="1">
        <f>Tabelle1[[#This Row],[Gross Sales Price]]*0.12</f>
        <v>3.6827999999999999</v>
      </c>
      <c r="F71" s="1">
        <v>0.4</v>
      </c>
      <c r="G71" s="1">
        <v>3</v>
      </c>
      <c r="H71" s="1">
        <v>2</v>
      </c>
      <c r="I71" s="2">
        <f>Tabelle1[[#This Row],[Base Price]]+Tabelle1[[#This Row],[Total Selling Costs
	]]+Tabelle1[[#This Row],[DHL Costs]]+Tabelle1[[#This Row],[Handling Costs]]+Tabelle1[[#This Row],[Fixed Costs]]</f>
        <v>17.422799999999999</v>
      </c>
      <c r="J71" s="1">
        <f>Tabelle1[[#This Row],[Net Sales Price]]-Tabelle1[[#This Row],[Variable Costs]]</f>
        <v>8.5856745762711917</v>
      </c>
    </row>
    <row r="72" spans="1:10" ht="14.25" customHeight="1" x14ac:dyDescent="0.25">
      <c r="A72" s="8" t="s">
        <v>80</v>
      </c>
      <c r="B72" s="1">
        <v>1.74</v>
      </c>
      <c r="C72" s="1">
        <v>18.850000000000001</v>
      </c>
      <c r="D72" s="1">
        <f>Tabelle1[[#This Row],[Gross Sales Price]]/1.18</f>
        <v>15.974576271186443</v>
      </c>
      <c r="E72" s="1">
        <f>Tabelle1[[#This Row],[Gross Sales Price]]*0.12</f>
        <v>2.262</v>
      </c>
      <c r="F72" s="1">
        <v>0.4</v>
      </c>
      <c r="G72" s="1">
        <v>3</v>
      </c>
      <c r="H72" s="1">
        <v>2</v>
      </c>
      <c r="I72" s="2">
        <f>Tabelle1[[#This Row],[Base Price]]+Tabelle1[[#This Row],[Total Selling Costs
	]]+Tabelle1[[#This Row],[DHL Costs]]+Tabelle1[[#This Row],[Handling Costs]]+Tabelle1[[#This Row],[Fixed Costs]]</f>
        <v>9.4019999999999992</v>
      </c>
      <c r="J72" s="2">
        <f>Tabelle1[[#This Row],[Net Sales Price]]-Tabelle1[[#This Row],[Variable Costs]]</f>
        <v>6.5725762711864437</v>
      </c>
    </row>
    <row r="73" spans="1:10" ht="14.25" customHeight="1" x14ac:dyDescent="0.25">
      <c r="A73" s="9" t="s">
        <v>81</v>
      </c>
      <c r="B73" s="1">
        <v>8.83</v>
      </c>
      <c r="C73" s="1">
        <v>2.39</v>
      </c>
      <c r="D73" s="1">
        <f>Tabelle1[[#This Row],[Gross Sales Price]]/1.18</f>
        <v>2.0254237288135597</v>
      </c>
      <c r="E73" s="1">
        <f>Tabelle1[[#This Row],[Gross Sales Price]]*0.12</f>
        <v>0.2868</v>
      </c>
      <c r="F73" s="1">
        <v>0.4</v>
      </c>
      <c r="G73" s="1">
        <v>3</v>
      </c>
      <c r="H73" s="1">
        <v>2</v>
      </c>
      <c r="I73" s="2">
        <f>Tabelle1[[#This Row],[Base Price]]+Tabelle1[[#This Row],[Total Selling Costs
	]]+Tabelle1[[#This Row],[DHL Costs]]+Tabelle1[[#This Row],[Handling Costs]]+Tabelle1[[#This Row],[Fixed Costs]]</f>
        <v>14.5168</v>
      </c>
      <c r="J73" s="1">
        <f>Tabelle1[[#This Row],[Net Sales Price]]-Tabelle1[[#This Row],[Variable Costs]]</f>
        <v>-12.491376271186439</v>
      </c>
    </row>
    <row r="74" spans="1:10" ht="14.25" customHeight="1" x14ac:dyDescent="0.25">
      <c r="A74" s="8" t="s">
        <v>82</v>
      </c>
      <c r="B74" s="1">
        <v>6.62</v>
      </c>
      <c r="C74" s="1">
        <v>18.78</v>
      </c>
      <c r="D74" s="1">
        <f>Tabelle1[[#This Row],[Gross Sales Price]]/1.18</f>
        <v>15.915254237288137</v>
      </c>
      <c r="E74" s="1">
        <f>Tabelle1[[#This Row],[Gross Sales Price]]*0.12</f>
        <v>2.2536</v>
      </c>
      <c r="F74" s="1">
        <v>0.4</v>
      </c>
      <c r="G74" s="1">
        <v>3</v>
      </c>
      <c r="H74" s="1">
        <v>2</v>
      </c>
      <c r="I74" s="2">
        <f>Tabelle1[[#This Row],[Base Price]]+Tabelle1[[#This Row],[Total Selling Costs
	]]+Tabelle1[[#This Row],[DHL Costs]]+Tabelle1[[#This Row],[Handling Costs]]+Tabelle1[[#This Row],[Fixed Costs]]</f>
        <v>14.2736</v>
      </c>
      <c r="J74" s="2">
        <f>Tabelle1[[#This Row],[Net Sales Price]]-Tabelle1[[#This Row],[Variable Costs]]</f>
        <v>1.6416542372881366</v>
      </c>
    </row>
    <row r="75" spans="1:10" ht="14.25" customHeight="1" x14ac:dyDescent="0.25">
      <c r="A75" s="8" t="s">
        <v>83</v>
      </c>
      <c r="B75" s="1">
        <v>16.48</v>
      </c>
      <c r="C75" s="1">
        <v>10.4</v>
      </c>
      <c r="D75" s="1">
        <f>Tabelle1[[#This Row],[Gross Sales Price]]/1.18</f>
        <v>8.8135593220338997</v>
      </c>
      <c r="E75" s="1">
        <f>Tabelle1[[#This Row],[Gross Sales Price]]*0.12</f>
        <v>1.248</v>
      </c>
      <c r="F75" s="1">
        <v>0.4</v>
      </c>
      <c r="G75" s="1">
        <v>3</v>
      </c>
      <c r="H75" s="1">
        <v>2</v>
      </c>
      <c r="I75" s="2">
        <f>Tabelle1[[#This Row],[Base Price]]+Tabelle1[[#This Row],[Total Selling Costs
	]]+Tabelle1[[#This Row],[DHL Costs]]+Tabelle1[[#This Row],[Handling Costs]]+Tabelle1[[#This Row],[Fixed Costs]]</f>
        <v>23.128</v>
      </c>
      <c r="J75" s="1">
        <f>Tabelle1[[#This Row],[Net Sales Price]]-Tabelle1[[#This Row],[Variable Costs]]</f>
        <v>-14.3144406779661</v>
      </c>
    </row>
    <row r="76" spans="1:10" ht="14.25" customHeight="1" x14ac:dyDescent="0.25">
      <c r="A76" s="8" t="s">
        <v>84</v>
      </c>
      <c r="B76" s="1">
        <v>7.78</v>
      </c>
      <c r="C76" s="1">
        <v>40.57</v>
      </c>
      <c r="D76" s="1">
        <f>Tabelle1[[#This Row],[Gross Sales Price]]/1.18</f>
        <v>34.381355932203391</v>
      </c>
      <c r="E76" s="1">
        <f>Tabelle1[[#This Row],[Gross Sales Price]]*0.12</f>
        <v>4.8684000000000003</v>
      </c>
      <c r="F76" s="1">
        <v>0.4</v>
      </c>
      <c r="G76" s="1">
        <v>3</v>
      </c>
      <c r="H76" s="1">
        <v>2</v>
      </c>
      <c r="I76" s="2">
        <f>Tabelle1[[#This Row],[Base Price]]+Tabelle1[[#This Row],[Total Selling Costs
	]]+Tabelle1[[#This Row],[DHL Costs]]+Tabelle1[[#This Row],[Handling Costs]]+Tabelle1[[#This Row],[Fixed Costs]]</f>
        <v>18.048400000000001</v>
      </c>
      <c r="J76" s="1">
        <f>Tabelle1[[#This Row],[Net Sales Price]]-Tabelle1[[#This Row],[Variable Costs]]</f>
        <v>16.33295593220339</v>
      </c>
    </row>
    <row r="77" spans="1:10" ht="14.25" customHeight="1" x14ac:dyDescent="0.25">
      <c r="A77" s="8" t="s">
        <v>85</v>
      </c>
      <c r="B77" s="1">
        <v>12.44</v>
      </c>
      <c r="C77" s="1">
        <v>1.62</v>
      </c>
      <c r="D77" s="1">
        <f>Tabelle1[[#This Row],[Gross Sales Price]]/1.18</f>
        <v>1.3728813559322035</v>
      </c>
      <c r="E77" s="1">
        <f>Tabelle1[[#This Row],[Gross Sales Price]]*0.12</f>
        <v>0.19440000000000002</v>
      </c>
      <c r="F77" s="1">
        <v>0.4</v>
      </c>
      <c r="G77" s="1">
        <v>3</v>
      </c>
      <c r="H77" s="1">
        <v>2</v>
      </c>
      <c r="I77" s="2">
        <f>Tabelle1[[#This Row],[Base Price]]+Tabelle1[[#This Row],[Total Selling Costs
	]]+Tabelle1[[#This Row],[DHL Costs]]+Tabelle1[[#This Row],[Handling Costs]]+Tabelle1[[#This Row],[Fixed Costs]]</f>
        <v>18.034399999999998</v>
      </c>
      <c r="J77" s="1">
        <f>Tabelle1[[#This Row],[Net Sales Price]]-Tabelle1[[#This Row],[Variable Costs]]</f>
        <v>-16.661518644067794</v>
      </c>
    </row>
    <row r="78" spans="1:10" ht="14.25" customHeight="1" x14ac:dyDescent="0.25">
      <c r="A78" s="8" t="s">
        <v>86</v>
      </c>
      <c r="B78" s="1">
        <v>13.1</v>
      </c>
      <c r="C78" s="1">
        <v>17.03</v>
      </c>
      <c r="D78" s="1">
        <f>Tabelle1[[#This Row],[Gross Sales Price]]/1.18</f>
        <v>14.43220338983051</v>
      </c>
      <c r="E78" s="1">
        <f>Tabelle1[[#This Row],[Gross Sales Price]]*0.12</f>
        <v>2.0436000000000001</v>
      </c>
      <c r="F78" s="1">
        <v>0.4</v>
      </c>
      <c r="G78" s="1">
        <v>3</v>
      </c>
      <c r="H78" s="1">
        <v>2</v>
      </c>
      <c r="I78" s="2">
        <f>Tabelle1[[#This Row],[Base Price]]+Tabelle1[[#This Row],[Total Selling Costs
	]]+Tabelle1[[#This Row],[DHL Costs]]+Tabelle1[[#This Row],[Handling Costs]]+Tabelle1[[#This Row],[Fixed Costs]]</f>
        <v>20.543599999999998</v>
      </c>
      <c r="J78" s="1">
        <f>Tabelle1[[#This Row],[Net Sales Price]]-Tabelle1[[#This Row],[Variable Costs]]</f>
        <v>-6.1113966101694874</v>
      </c>
    </row>
    <row r="79" spans="1:10" ht="14.25" customHeight="1" x14ac:dyDescent="0.25">
      <c r="A79" s="8" t="s">
        <v>87</v>
      </c>
      <c r="B79" s="1">
        <v>10.67</v>
      </c>
      <c r="C79" s="1">
        <v>20.73</v>
      </c>
      <c r="D79" s="1">
        <f>Tabelle1[[#This Row],[Gross Sales Price]]/1.18</f>
        <v>17.567796610169491</v>
      </c>
      <c r="E79" s="1">
        <f>Tabelle1[[#This Row],[Gross Sales Price]]*0.12</f>
        <v>2.4876</v>
      </c>
      <c r="F79" s="1">
        <v>0.4</v>
      </c>
      <c r="G79" s="1">
        <v>3</v>
      </c>
      <c r="H79" s="1">
        <v>2</v>
      </c>
      <c r="I79" s="2">
        <f>Tabelle1[[#This Row],[Base Price]]+Tabelle1[[#This Row],[Total Selling Costs
	]]+Tabelle1[[#This Row],[DHL Costs]]+Tabelle1[[#This Row],[Handling Costs]]+Tabelle1[[#This Row],[Fixed Costs]]</f>
        <v>18.557600000000001</v>
      </c>
      <c r="J79" s="1">
        <f>Tabelle1[[#This Row],[Net Sales Price]]-Tabelle1[[#This Row],[Variable Costs]]</f>
        <v>-0.98980338983050942</v>
      </c>
    </row>
    <row r="80" spans="1:10" ht="14.25" customHeight="1" x14ac:dyDescent="0.25">
      <c r="A80" s="8" t="s">
        <v>88</v>
      </c>
      <c r="B80" s="1">
        <v>7.34</v>
      </c>
      <c r="C80" s="1">
        <v>33.159999999999997</v>
      </c>
      <c r="D80" s="1">
        <f>Tabelle1[[#This Row],[Gross Sales Price]]/1.18</f>
        <v>28.101694915254235</v>
      </c>
      <c r="E80" s="1">
        <f>Tabelle1[[#This Row],[Gross Sales Price]]*0.12</f>
        <v>3.9791999999999996</v>
      </c>
      <c r="F80" s="1">
        <v>0.4</v>
      </c>
      <c r="G80" s="1">
        <v>3</v>
      </c>
      <c r="H80" s="1">
        <v>2</v>
      </c>
      <c r="I80" s="2">
        <f>Tabelle1[[#This Row],[Base Price]]+Tabelle1[[#This Row],[Total Selling Costs
	]]+Tabelle1[[#This Row],[DHL Costs]]+Tabelle1[[#This Row],[Handling Costs]]+Tabelle1[[#This Row],[Fixed Costs]]</f>
        <v>16.719199999999997</v>
      </c>
      <c r="J80" s="1">
        <f>Tabelle1[[#This Row],[Net Sales Price]]-Tabelle1[[#This Row],[Variable Costs]]</f>
        <v>11.382494915254238</v>
      </c>
    </row>
    <row r="81" spans="1:10" ht="14.25" customHeight="1" x14ac:dyDescent="0.25">
      <c r="A81" s="8" t="s">
        <v>89</v>
      </c>
      <c r="B81" s="1">
        <v>6.97</v>
      </c>
      <c r="C81" s="1">
        <v>39.86</v>
      </c>
      <c r="D81" s="1">
        <f>Tabelle1[[#This Row],[Gross Sales Price]]/1.18</f>
        <v>33.779661016949156</v>
      </c>
      <c r="E81" s="1">
        <f>Tabelle1[[#This Row],[Gross Sales Price]]*0.12</f>
        <v>4.7831999999999999</v>
      </c>
      <c r="F81" s="1">
        <v>0.4</v>
      </c>
      <c r="G81" s="1">
        <v>3</v>
      </c>
      <c r="H81" s="1">
        <v>2</v>
      </c>
      <c r="I81" s="2">
        <f>Tabelle1[[#This Row],[Base Price]]+Tabelle1[[#This Row],[Total Selling Costs
	]]+Tabelle1[[#This Row],[DHL Costs]]+Tabelle1[[#This Row],[Handling Costs]]+Tabelle1[[#This Row],[Fixed Costs]]</f>
        <v>17.153199999999998</v>
      </c>
      <c r="J81" s="1">
        <f>Tabelle1[[#This Row],[Net Sales Price]]-Tabelle1[[#This Row],[Variable Costs]]</f>
        <v>16.626461016949158</v>
      </c>
    </row>
    <row r="82" spans="1:10" ht="14.25" customHeight="1" x14ac:dyDescent="0.25">
      <c r="A82" s="8" t="s">
        <v>90</v>
      </c>
      <c r="B82" s="1">
        <v>11.5</v>
      </c>
      <c r="C82" s="1">
        <v>36.36</v>
      </c>
      <c r="D82" s="1">
        <f>Tabelle1[[#This Row],[Gross Sales Price]]/1.18</f>
        <v>30.8135593220339</v>
      </c>
      <c r="E82" s="1">
        <f>Tabelle1[[#This Row],[Gross Sales Price]]*0.12</f>
        <v>4.3632</v>
      </c>
      <c r="F82" s="1">
        <v>0.4</v>
      </c>
      <c r="G82" s="1">
        <v>3</v>
      </c>
      <c r="H82" s="1">
        <v>2</v>
      </c>
      <c r="I82" s="2">
        <f>Tabelle1[[#This Row],[Base Price]]+Tabelle1[[#This Row],[Total Selling Costs
	]]+Tabelle1[[#This Row],[DHL Costs]]+Tabelle1[[#This Row],[Handling Costs]]+Tabelle1[[#This Row],[Fixed Costs]]</f>
        <v>21.263199999999998</v>
      </c>
      <c r="J82" s="2">
        <f>Tabelle1[[#This Row],[Net Sales Price]]-Tabelle1[[#This Row],[Variable Costs]]</f>
        <v>9.550359322033902</v>
      </c>
    </row>
    <row r="83" spans="1:10" ht="14.25" customHeight="1" x14ac:dyDescent="0.25">
      <c r="A83" s="8" t="s">
        <v>91</v>
      </c>
      <c r="B83" s="1">
        <v>15.56</v>
      </c>
      <c r="C83" s="1">
        <v>33.54</v>
      </c>
      <c r="D83" s="1">
        <f>Tabelle1[[#This Row],[Gross Sales Price]]/1.18</f>
        <v>28.423728813559322</v>
      </c>
      <c r="E83" s="1">
        <f>Tabelle1[[#This Row],[Gross Sales Price]]*0.12</f>
        <v>4.0247999999999999</v>
      </c>
      <c r="F83" s="1">
        <v>0.4</v>
      </c>
      <c r="G83" s="1">
        <v>3</v>
      </c>
      <c r="H83" s="1">
        <v>2</v>
      </c>
      <c r="I83" s="2">
        <f>Tabelle1[[#This Row],[Base Price]]+Tabelle1[[#This Row],[Total Selling Costs
	]]+Tabelle1[[#This Row],[DHL Costs]]+Tabelle1[[#This Row],[Handling Costs]]+Tabelle1[[#This Row],[Fixed Costs]]</f>
        <v>24.9848</v>
      </c>
      <c r="J83" s="1">
        <f>Tabelle1[[#This Row],[Net Sales Price]]-Tabelle1[[#This Row],[Variable Costs]]</f>
        <v>3.4389288135593219</v>
      </c>
    </row>
    <row r="84" spans="1:10" ht="14.25" customHeight="1" x14ac:dyDescent="0.25">
      <c r="A84" s="8" t="s">
        <v>92</v>
      </c>
      <c r="B84" s="1">
        <v>14.24</v>
      </c>
      <c r="C84" s="1">
        <v>15.81</v>
      </c>
      <c r="D84" s="1">
        <f>Tabelle1[[#This Row],[Gross Sales Price]]/1.18</f>
        <v>13.398305084745763</v>
      </c>
      <c r="E84" s="1">
        <f>Tabelle1[[#This Row],[Gross Sales Price]]*0.12</f>
        <v>1.8972</v>
      </c>
      <c r="F84" s="1">
        <v>0.4</v>
      </c>
      <c r="G84" s="1">
        <v>3</v>
      </c>
      <c r="H84" s="1">
        <v>2</v>
      </c>
      <c r="I84" s="2">
        <f>Tabelle1[[#This Row],[Base Price]]+Tabelle1[[#This Row],[Total Selling Costs
	]]+Tabelle1[[#This Row],[DHL Costs]]+Tabelle1[[#This Row],[Handling Costs]]+Tabelle1[[#This Row],[Fixed Costs]]</f>
        <v>21.537199999999999</v>
      </c>
      <c r="J84" s="2">
        <f>Tabelle1[[#This Row],[Net Sales Price]]-Tabelle1[[#This Row],[Variable Costs]]</f>
        <v>-8.1388949152542356</v>
      </c>
    </row>
    <row r="85" spans="1:10" ht="14.25" customHeight="1" x14ac:dyDescent="0.25">
      <c r="A85" s="8" t="s">
        <v>93</v>
      </c>
      <c r="B85" s="1">
        <v>8.19</v>
      </c>
      <c r="C85" s="1">
        <v>3.49</v>
      </c>
      <c r="D85" s="1">
        <f>Tabelle1[[#This Row],[Gross Sales Price]]/1.18</f>
        <v>2.9576271186440684</v>
      </c>
      <c r="E85" s="1">
        <f>Tabelle1[[#This Row],[Gross Sales Price]]*0.12</f>
        <v>0.41880000000000001</v>
      </c>
      <c r="F85" s="1">
        <v>0.4</v>
      </c>
      <c r="G85" s="1">
        <v>3</v>
      </c>
      <c r="H85" s="1">
        <v>2</v>
      </c>
      <c r="I85" s="2">
        <f>Tabelle1[[#This Row],[Base Price]]+Tabelle1[[#This Row],[Total Selling Costs
	]]+Tabelle1[[#This Row],[DHL Costs]]+Tabelle1[[#This Row],[Handling Costs]]+Tabelle1[[#This Row],[Fixed Costs]]</f>
        <v>14.008799999999999</v>
      </c>
      <c r="J85" s="2">
        <f>Tabelle1[[#This Row],[Net Sales Price]]-Tabelle1[[#This Row],[Variable Costs]]</f>
        <v>-11.051172881355932</v>
      </c>
    </row>
    <row r="86" spans="1:10" ht="14.25" customHeight="1" x14ac:dyDescent="0.25">
      <c r="A86" s="8" t="s">
        <v>94</v>
      </c>
      <c r="B86" s="1">
        <v>18.690000000000001</v>
      </c>
      <c r="C86" s="1">
        <v>17.010000000000002</v>
      </c>
      <c r="D86" s="1">
        <f>Tabelle1[[#This Row],[Gross Sales Price]]/1.18</f>
        <v>14.415254237288138</v>
      </c>
      <c r="E86" s="1">
        <f>Tabelle1[[#This Row],[Gross Sales Price]]*0.12</f>
        <v>2.0411999999999999</v>
      </c>
      <c r="F86" s="1">
        <v>0.4</v>
      </c>
      <c r="G86" s="1">
        <v>3</v>
      </c>
      <c r="H86" s="1">
        <v>2</v>
      </c>
      <c r="I86" s="2">
        <f>Tabelle1[[#This Row],[Base Price]]+Tabelle1[[#This Row],[Total Selling Costs
	]]+Tabelle1[[#This Row],[DHL Costs]]+Tabelle1[[#This Row],[Handling Costs]]+Tabelle1[[#This Row],[Fixed Costs]]</f>
        <v>26.1312</v>
      </c>
      <c r="J86" s="1">
        <f>Tabelle1[[#This Row],[Net Sales Price]]-Tabelle1[[#This Row],[Variable Costs]]</f>
        <v>-11.715945762711861</v>
      </c>
    </row>
    <row r="87" spans="1:10" ht="14.25" customHeight="1" x14ac:dyDescent="0.25">
      <c r="A87" s="8" t="s">
        <v>95</v>
      </c>
      <c r="B87" s="1">
        <v>7.58</v>
      </c>
      <c r="C87" s="1">
        <v>19.54</v>
      </c>
      <c r="D87" s="1">
        <f>Tabelle1[[#This Row],[Gross Sales Price]]/1.18</f>
        <v>16.559322033898304</v>
      </c>
      <c r="E87" s="1">
        <f>Tabelle1[[#This Row],[Gross Sales Price]]*0.12</f>
        <v>2.3447999999999998</v>
      </c>
      <c r="F87" s="1">
        <v>0.4</v>
      </c>
      <c r="G87" s="1">
        <v>3</v>
      </c>
      <c r="H87" s="1">
        <v>2</v>
      </c>
      <c r="I87" s="2">
        <f>Tabelle1[[#This Row],[Base Price]]+Tabelle1[[#This Row],[Total Selling Costs
	]]+Tabelle1[[#This Row],[DHL Costs]]+Tabelle1[[#This Row],[Handling Costs]]+Tabelle1[[#This Row],[Fixed Costs]]</f>
        <v>15.3248</v>
      </c>
      <c r="J87" s="1">
        <f>Tabelle1[[#This Row],[Net Sales Price]]-Tabelle1[[#This Row],[Variable Costs]]</f>
        <v>1.2345220338983047</v>
      </c>
    </row>
    <row r="88" spans="1:10" ht="14.25" customHeight="1" x14ac:dyDescent="0.25">
      <c r="A88" s="8" t="s">
        <v>96</v>
      </c>
      <c r="B88" s="1">
        <v>8.6300000000000008</v>
      </c>
      <c r="C88" s="1">
        <v>20.12</v>
      </c>
      <c r="D88" s="1">
        <f>Tabelle1[[#This Row],[Gross Sales Price]]/1.18</f>
        <v>17.050847457627121</v>
      </c>
      <c r="E88" s="1">
        <f>Tabelle1[[#This Row],[Gross Sales Price]]*0.12</f>
        <v>2.4144000000000001</v>
      </c>
      <c r="F88" s="1">
        <v>0.4</v>
      </c>
      <c r="G88" s="1">
        <v>3</v>
      </c>
      <c r="H88" s="1">
        <v>2</v>
      </c>
      <c r="I88" s="2">
        <f>Tabelle1[[#This Row],[Base Price]]+Tabelle1[[#This Row],[Total Selling Costs
	]]+Tabelle1[[#This Row],[DHL Costs]]+Tabelle1[[#This Row],[Handling Costs]]+Tabelle1[[#This Row],[Fixed Costs]]</f>
        <v>16.444400000000002</v>
      </c>
      <c r="J88" s="1">
        <f>Tabelle1[[#This Row],[Net Sales Price]]-Tabelle1[[#This Row],[Variable Costs]]</f>
        <v>0.60644745762711949</v>
      </c>
    </row>
    <row r="89" spans="1:10" ht="14.25" customHeight="1" x14ac:dyDescent="0.25">
      <c r="A89" s="8" t="s">
        <v>97</v>
      </c>
      <c r="B89" s="1">
        <v>13.15</v>
      </c>
      <c r="C89" s="1">
        <v>33.93</v>
      </c>
      <c r="D89" s="1">
        <f>Tabelle1[[#This Row],[Gross Sales Price]]/1.18</f>
        <v>28.754237288135595</v>
      </c>
      <c r="E89" s="1">
        <f>Tabelle1[[#This Row],[Gross Sales Price]]*0.12</f>
        <v>4.0716000000000001</v>
      </c>
      <c r="F89" s="1">
        <v>0.4</v>
      </c>
      <c r="G89" s="1">
        <v>3</v>
      </c>
      <c r="H89" s="1">
        <v>2</v>
      </c>
      <c r="I89" s="2">
        <f>Tabelle1[[#This Row],[Base Price]]+Tabelle1[[#This Row],[Total Selling Costs
	]]+Tabelle1[[#This Row],[DHL Costs]]+Tabelle1[[#This Row],[Handling Costs]]+Tabelle1[[#This Row],[Fixed Costs]]</f>
        <v>22.621600000000001</v>
      </c>
      <c r="J89" s="1">
        <f>Tabelle1[[#This Row],[Net Sales Price]]-Tabelle1[[#This Row],[Variable Costs]]</f>
        <v>6.1326372881355944</v>
      </c>
    </row>
    <row r="90" spans="1:10" ht="14.25" customHeight="1" x14ac:dyDescent="0.25">
      <c r="A90" s="9" t="s">
        <v>98</v>
      </c>
      <c r="B90" s="1">
        <v>18.829999999999998</v>
      </c>
      <c r="C90" s="1">
        <v>37.96</v>
      </c>
      <c r="D90" s="1">
        <f>Tabelle1[[#This Row],[Gross Sales Price]]/1.18</f>
        <v>32.16949152542373</v>
      </c>
      <c r="E90" s="1">
        <f>Tabelle1[[#This Row],[Gross Sales Price]]*0.12</f>
        <v>4.5552000000000001</v>
      </c>
      <c r="F90" s="1">
        <v>0.4</v>
      </c>
      <c r="G90" s="1">
        <v>3</v>
      </c>
      <c r="H90" s="1">
        <v>2</v>
      </c>
      <c r="I90" s="2">
        <f>Tabelle1[[#This Row],[Base Price]]+Tabelle1[[#This Row],[Total Selling Costs
	]]+Tabelle1[[#This Row],[DHL Costs]]+Tabelle1[[#This Row],[Handling Costs]]+Tabelle1[[#This Row],[Fixed Costs]]</f>
        <v>28.785199999999996</v>
      </c>
      <c r="J90" s="2">
        <f>Tabelle1[[#This Row],[Net Sales Price]]-Tabelle1[[#This Row],[Variable Costs]]</f>
        <v>3.384291525423734</v>
      </c>
    </row>
    <row r="91" spans="1:10" ht="14.25" customHeight="1" x14ac:dyDescent="0.25">
      <c r="A91" s="8" t="s">
        <v>99</v>
      </c>
      <c r="B91" s="1">
        <v>8.67</v>
      </c>
      <c r="C91" s="1">
        <v>7.62</v>
      </c>
      <c r="D91" s="1">
        <f>Tabelle1[[#This Row],[Gross Sales Price]]/1.18</f>
        <v>6.4576271186440684</v>
      </c>
      <c r="E91" s="1">
        <f>Tabelle1[[#This Row],[Gross Sales Price]]*0.12</f>
        <v>0.91439999999999999</v>
      </c>
      <c r="F91" s="1">
        <v>0.4</v>
      </c>
      <c r="G91" s="1">
        <v>3</v>
      </c>
      <c r="H91" s="1">
        <v>2</v>
      </c>
      <c r="I91" s="2">
        <f>Tabelle1[[#This Row],[Base Price]]+Tabelle1[[#This Row],[Total Selling Costs
	]]+Tabelle1[[#This Row],[DHL Costs]]+Tabelle1[[#This Row],[Handling Costs]]+Tabelle1[[#This Row],[Fixed Costs]]</f>
        <v>14.984400000000001</v>
      </c>
      <c r="J91" s="2">
        <f>Tabelle1[[#This Row],[Net Sales Price]]-Tabelle1[[#This Row],[Variable Costs]]</f>
        <v>-8.5267728813559316</v>
      </c>
    </row>
    <row r="92" spans="1:10" ht="14.25" customHeight="1" x14ac:dyDescent="0.25">
      <c r="A92" s="8" t="s">
        <v>100</v>
      </c>
      <c r="B92" s="1">
        <v>7.24</v>
      </c>
      <c r="C92" s="1">
        <v>9.59</v>
      </c>
      <c r="D92" s="1">
        <f>Tabelle1[[#This Row],[Gross Sales Price]]/1.18</f>
        <v>8.1271186440677976</v>
      </c>
      <c r="E92" s="1">
        <f>Tabelle1[[#This Row],[Gross Sales Price]]*0.12</f>
        <v>1.1508</v>
      </c>
      <c r="F92" s="1">
        <v>0.4</v>
      </c>
      <c r="G92" s="1">
        <v>3</v>
      </c>
      <c r="H92" s="1">
        <v>2</v>
      </c>
      <c r="I92" s="2">
        <f>Tabelle1[[#This Row],[Base Price]]+Tabelle1[[#This Row],[Total Selling Costs
	]]+Tabelle1[[#This Row],[DHL Costs]]+Tabelle1[[#This Row],[Handling Costs]]+Tabelle1[[#This Row],[Fixed Costs]]</f>
        <v>13.790800000000001</v>
      </c>
      <c r="J92" s="1">
        <f>Tabelle1[[#This Row],[Net Sales Price]]-Tabelle1[[#This Row],[Variable Costs]]</f>
        <v>-5.6636813559322032</v>
      </c>
    </row>
    <row r="93" spans="1:10" ht="14.25" customHeight="1" x14ac:dyDescent="0.25">
      <c r="A93" s="8" t="s">
        <v>101</v>
      </c>
      <c r="B93" s="1">
        <v>14.63</v>
      </c>
      <c r="C93" s="1">
        <v>39.54</v>
      </c>
      <c r="D93" s="1">
        <f>Tabelle1[[#This Row],[Gross Sales Price]]/1.18</f>
        <v>33.50847457627119</v>
      </c>
      <c r="E93" s="1">
        <f>Tabelle1[[#This Row],[Gross Sales Price]]*0.12</f>
        <v>4.7447999999999997</v>
      </c>
      <c r="F93" s="1">
        <v>0.4</v>
      </c>
      <c r="G93" s="1">
        <v>3</v>
      </c>
      <c r="H93" s="1">
        <v>2</v>
      </c>
      <c r="I93" s="2">
        <f>Tabelle1[[#This Row],[Base Price]]+Tabelle1[[#This Row],[Total Selling Costs
	]]+Tabelle1[[#This Row],[DHL Costs]]+Tabelle1[[#This Row],[Handling Costs]]+Tabelle1[[#This Row],[Fixed Costs]]</f>
        <v>24.774799999999999</v>
      </c>
      <c r="J93" s="2">
        <f>Tabelle1[[#This Row],[Net Sales Price]]-Tabelle1[[#This Row],[Variable Costs]]</f>
        <v>8.7336745762711914</v>
      </c>
    </row>
    <row r="94" spans="1:10" ht="14.25" customHeight="1" x14ac:dyDescent="0.25">
      <c r="A94" s="8" t="s">
        <v>102</v>
      </c>
      <c r="B94" s="1">
        <v>8.9499999999999993</v>
      </c>
      <c r="C94" s="1">
        <v>29.39</v>
      </c>
      <c r="D94" s="1">
        <f>Tabelle1[[#This Row],[Gross Sales Price]]/1.18</f>
        <v>24.906779661016952</v>
      </c>
      <c r="E94" s="1">
        <f>Tabelle1[[#This Row],[Gross Sales Price]]*0.12</f>
        <v>3.5268000000000002</v>
      </c>
      <c r="F94" s="1">
        <v>0.4</v>
      </c>
      <c r="G94" s="1">
        <v>3</v>
      </c>
      <c r="H94" s="1">
        <v>2</v>
      </c>
      <c r="I94" s="2">
        <f>Tabelle1[[#This Row],[Base Price]]+Tabelle1[[#This Row],[Total Selling Costs
	]]+Tabelle1[[#This Row],[DHL Costs]]+Tabelle1[[#This Row],[Handling Costs]]+Tabelle1[[#This Row],[Fixed Costs]]</f>
        <v>17.876799999999996</v>
      </c>
      <c r="J94" s="1">
        <f>Tabelle1[[#This Row],[Net Sales Price]]-Tabelle1[[#This Row],[Variable Costs]]</f>
        <v>7.0299796610169558</v>
      </c>
    </row>
    <row r="95" spans="1:10" ht="14.25" customHeight="1" x14ac:dyDescent="0.25">
      <c r="A95" s="8" t="s">
        <v>103</v>
      </c>
      <c r="B95" s="1">
        <v>14.82</v>
      </c>
      <c r="C95" s="1">
        <v>3.82</v>
      </c>
      <c r="D95" s="1">
        <f>Tabelle1[[#This Row],[Gross Sales Price]]/1.18</f>
        <v>3.2372881355932206</v>
      </c>
      <c r="E95" s="1">
        <f>Tabelle1[[#This Row],[Gross Sales Price]]*0.12</f>
        <v>0.45839999999999997</v>
      </c>
      <c r="F95" s="1">
        <v>0.4</v>
      </c>
      <c r="G95" s="1">
        <v>3</v>
      </c>
      <c r="H95" s="1">
        <v>2</v>
      </c>
      <c r="I95" s="2">
        <f>Tabelle1[[#This Row],[Base Price]]+Tabelle1[[#This Row],[Total Selling Costs
	]]+Tabelle1[[#This Row],[DHL Costs]]+Tabelle1[[#This Row],[Handling Costs]]+Tabelle1[[#This Row],[Fixed Costs]]</f>
        <v>20.678399999999996</v>
      </c>
      <c r="J95" s="2">
        <f>Tabelle1[[#This Row],[Net Sales Price]]-Tabelle1[[#This Row],[Variable Costs]]</f>
        <v>-17.441111864406775</v>
      </c>
    </row>
    <row r="96" spans="1:10" ht="14.25" customHeight="1" x14ac:dyDescent="0.25">
      <c r="A96" s="8" t="s">
        <v>104</v>
      </c>
      <c r="B96" s="1">
        <v>9.4700000000000006</v>
      </c>
      <c r="C96" s="1">
        <v>29.07</v>
      </c>
      <c r="D96" s="1">
        <f>Tabelle1[[#This Row],[Gross Sales Price]]/1.18</f>
        <v>24.635593220338986</v>
      </c>
      <c r="E96" s="1">
        <f>Tabelle1[[#This Row],[Gross Sales Price]]*0.12</f>
        <v>3.4883999999999999</v>
      </c>
      <c r="F96" s="1">
        <v>0.4</v>
      </c>
      <c r="G96" s="1">
        <v>3</v>
      </c>
      <c r="H96" s="1">
        <v>2</v>
      </c>
      <c r="I96" s="2">
        <f>Tabelle1[[#This Row],[Base Price]]+Tabelle1[[#This Row],[Total Selling Costs
	]]+Tabelle1[[#This Row],[DHL Costs]]+Tabelle1[[#This Row],[Handling Costs]]+Tabelle1[[#This Row],[Fixed Costs]]</f>
        <v>18.3584</v>
      </c>
      <c r="J96" s="1">
        <f>Tabelle1[[#This Row],[Net Sales Price]]-Tabelle1[[#This Row],[Variable Costs]]</f>
        <v>6.2771932203389866</v>
      </c>
    </row>
    <row r="97" spans="1:10" ht="14.25" customHeight="1" x14ac:dyDescent="0.25">
      <c r="A97" s="8" t="s">
        <v>105</v>
      </c>
      <c r="B97" s="1">
        <v>11.92</v>
      </c>
      <c r="C97" s="1">
        <v>5.54</v>
      </c>
      <c r="D97" s="1">
        <f>Tabelle1[[#This Row],[Gross Sales Price]]/1.18</f>
        <v>4.6949152542372881</v>
      </c>
      <c r="E97" s="1">
        <f>Tabelle1[[#This Row],[Gross Sales Price]]*0.12</f>
        <v>0.66479999999999995</v>
      </c>
      <c r="F97" s="1">
        <v>0.4</v>
      </c>
      <c r="G97" s="1">
        <v>3</v>
      </c>
      <c r="H97" s="1">
        <v>2</v>
      </c>
      <c r="I97" s="2">
        <f>Tabelle1[[#This Row],[Base Price]]+Tabelle1[[#This Row],[Total Selling Costs
	]]+Tabelle1[[#This Row],[DHL Costs]]+Tabelle1[[#This Row],[Handling Costs]]+Tabelle1[[#This Row],[Fixed Costs]]</f>
        <v>17.9848</v>
      </c>
      <c r="J97" s="1">
        <f>Tabelle1[[#This Row],[Net Sales Price]]-Tabelle1[[#This Row],[Variable Costs]]</f>
        <v>-13.289884745762713</v>
      </c>
    </row>
    <row r="98" spans="1:10" ht="14.25" customHeight="1" x14ac:dyDescent="0.25">
      <c r="A98" s="8" t="s">
        <v>106</v>
      </c>
      <c r="B98" s="1">
        <v>17.59</v>
      </c>
      <c r="C98" s="1">
        <v>8.16</v>
      </c>
      <c r="D98" s="1">
        <f>Tabelle1[[#This Row],[Gross Sales Price]]/1.18</f>
        <v>6.9152542372881358</v>
      </c>
      <c r="E98" s="1">
        <f>Tabelle1[[#This Row],[Gross Sales Price]]*0.12</f>
        <v>0.97919999999999996</v>
      </c>
      <c r="F98" s="1">
        <v>0.4</v>
      </c>
      <c r="G98" s="1">
        <v>3</v>
      </c>
      <c r="H98" s="1">
        <v>2</v>
      </c>
      <c r="I98" s="2">
        <f>Tabelle1[[#This Row],[Base Price]]+Tabelle1[[#This Row],[Total Selling Costs
	]]+Tabelle1[[#This Row],[DHL Costs]]+Tabelle1[[#This Row],[Handling Costs]]+Tabelle1[[#This Row],[Fixed Costs]]</f>
        <v>23.969199999999997</v>
      </c>
      <c r="J98" s="2">
        <f>Tabelle1[[#This Row],[Net Sales Price]]-Tabelle1[[#This Row],[Variable Costs]]</f>
        <v>-17.053945762711862</v>
      </c>
    </row>
    <row r="99" spans="1:10" ht="14.25" customHeight="1" x14ac:dyDescent="0.25">
      <c r="A99" s="8" t="s">
        <v>107</v>
      </c>
      <c r="B99" s="1">
        <v>16.43</v>
      </c>
      <c r="C99" s="1">
        <v>15.52</v>
      </c>
      <c r="D99" s="1">
        <f>Tabelle1[[#This Row],[Gross Sales Price]]/1.18</f>
        <v>13.152542372881356</v>
      </c>
      <c r="E99" s="1">
        <f>Tabelle1[[#This Row],[Gross Sales Price]]*0.12</f>
        <v>1.8623999999999998</v>
      </c>
      <c r="F99" s="1">
        <v>0.4</v>
      </c>
      <c r="G99" s="1">
        <v>3</v>
      </c>
      <c r="H99" s="1">
        <v>2</v>
      </c>
      <c r="I99" s="2">
        <f>Tabelle1[[#This Row],[Base Price]]+Tabelle1[[#This Row],[Total Selling Costs
	]]+Tabelle1[[#This Row],[DHL Costs]]+Tabelle1[[#This Row],[Handling Costs]]+Tabelle1[[#This Row],[Fixed Costs]]</f>
        <v>23.692399999999999</v>
      </c>
      <c r="J99" s="1">
        <f>Tabelle1[[#This Row],[Net Sales Price]]-Tabelle1[[#This Row],[Variable Costs]]</f>
        <v>-10.539857627118643</v>
      </c>
    </row>
    <row r="100" spans="1:10" ht="14.25" customHeight="1" x14ac:dyDescent="0.25">
      <c r="A100" s="8" t="s">
        <v>108</v>
      </c>
      <c r="B100" s="1">
        <v>16.489999999999998</v>
      </c>
      <c r="C100" s="1">
        <v>26.98</v>
      </c>
      <c r="D100" s="1">
        <f>Tabelle1[[#This Row],[Gross Sales Price]]/1.18</f>
        <v>22.864406779661017</v>
      </c>
      <c r="E100" s="1">
        <f>Tabelle1[[#This Row],[Gross Sales Price]]*0.12</f>
        <v>3.2376</v>
      </c>
      <c r="F100" s="1">
        <v>0.4</v>
      </c>
      <c r="G100" s="1">
        <v>3</v>
      </c>
      <c r="H100" s="1">
        <v>2</v>
      </c>
      <c r="I100" s="2">
        <f>Tabelle1[[#This Row],[Base Price]]+Tabelle1[[#This Row],[Total Selling Costs
	]]+Tabelle1[[#This Row],[DHL Costs]]+Tabelle1[[#This Row],[Handling Costs]]+Tabelle1[[#This Row],[Fixed Costs]]</f>
        <v>25.127599999999997</v>
      </c>
      <c r="J100" s="2">
        <f>Tabelle1[[#This Row],[Net Sales Price]]-Tabelle1[[#This Row],[Variable Costs]]</f>
        <v>-2.2631932203389802</v>
      </c>
    </row>
    <row r="101" spans="1:10" ht="14.25" customHeight="1" x14ac:dyDescent="0.25">
      <c r="A101" s="8" t="s">
        <v>109</v>
      </c>
      <c r="B101" s="1">
        <v>2.2400000000000002</v>
      </c>
      <c r="C101" s="1">
        <v>23.15</v>
      </c>
      <c r="D101" s="1">
        <f>Tabelle1[[#This Row],[Gross Sales Price]]/1.18</f>
        <v>19.618644067796609</v>
      </c>
      <c r="E101" s="1">
        <f>Tabelle1[[#This Row],[Gross Sales Price]]*0.12</f>
        <v>2.7779999999999996</v>
      </c>
      <c r="F101" s="1">
        <v>0.4</v>
      </c>
      <c r="G101" s="1">
        <v>3</v>
      </c>
      <c r="H101" s="1">
        <v>2</v>
      </c>
      <c r="I101" s="2">
        <f>Tabelle1[[#This Row],[Base Price]]+Tabelle1[[#This Row],[Total Selling Costs
	]]+Tabelle1[[#This Row],[DHL Costs]]+Tabelle1[[#This Row],[Handling Costs]]+Tabelle1[[#This Row],[Fixed Costs]]</f>
        <v>10.418000000000001</v>
      </c>
      <c r="J101" s="2">
        <f>Tabelle1[[#This Row],[Net Sales Price]]-Tabelle1[[#This Row],[Variable Costs]]</f>
        <v>9.2006440677966079</v>
      </c>
    </row>
    <row r="102" spans="1:10" ht="14.25" customHeight="1" x14ac:dyDescent="0.25">
      <c r="A102" s="8" t="s">
        <v>110</v>
      </c>
      <c r="B102" s="1">
        <v>7.95</v>
      </c>
      <c r="C102" s="1">
        <v>10.039999999999999</v>
      </c>
      <c r="D102" s="1">
        <f>Tabelle1[[#This Row],[Gross Sales Price]]/1.18</f>
        <v>8.5084745762711869</v>
      </c>
      <c r="E102" s="1">
        <f>Tabelle1[[#This Row],[Gross Sales Price]]*0.12</f>
        <v>1.2047999999999999</v>
      </c>
      <c r="F102" s="1">
        <v>0.4</v>
      </c>
      <c r="G102" s="1">
        <v>3</v>
      </c>
      <c r="H102" s="1">
        <v>2</v>
      </c>
      <c r="I102" s="2">
        <f>Tabelle1[[#This Row],[Base Price]]+Tabelle1[[#This Row],[Total Selling Costs
	]]+Tabelle1[[#This Row],[DHL Costs]]+Tabelle1[[#This Row],[Handling Costs]]+Tabelle1[[#This Row],[Fixed Costs]]</f>
        <v>14.5548</v>
      </c>
      <c r="J102" s="2">
        <f>Tabelle1[[#This Row],[Net Sales Price]]-Tabelle1[[#This Row],[Variable Costs]]</f>
        <v>-6.0463254237288133</v>
      </c>
    </row>
    <row r="103" spans="1:10" ht="14.25" customHeight="1" x14ac:dyDescent="0.25">
      <c r="A103" s="8" t="s">
        <v>111</v>
      </c>
      <c r="B103" s="1">
        <v>19.93</v>
      </c>
      <c r="C103" s="1">
        <v>24.38</v>
      </c>
      <c r="D103" s="1">
        <f>Tabelle1[[#This Row],[Gross Sales Price]]/1.18</f>
        <v>20.661016949152543</v>
      </c>
      <c r="E103" s="1">
        <f>Tabelle1[[#This Row],[Gross Sales Price]]*0.12</f>
        <v>2.9255999999999998</v>
      </c>
      <c r="F103" s="1">
        <v>0.4</v>
      </c>
      <c r="G103" s="1">
        <v>3</v>
      </c>
      <c r="H103" s="1">
        <v>2</v>
      </c>
      <c r="I103" s="2">
        <f>Tabelle1[[#This Row],[Base Price]]+Tabelle1[[#This Row],[Total Selling Costs
	]]+Tabelle1[[#This Row],[DHL Costs]]+Tabelle1[[#This Row],[Handling Costs]]+Tabelle1[[#This Row],[Fixed Costs]]</f>
        <v>28.255599999999998</v>
      </c>
      <c r="J103" s="1">
        <f>Tabelle1[[#This Row],[Net Sales Price]]-Tabelle1[[#This Row],[Variable Costs]]</f>
        <v>-7.5945830508474543</v>
      </c>
    </row>
    <row r="104" spans="1:10" ht="14.25" customHeight="1" x14ac:dyDescent="0.25">
      <c r="A104" s="8" t="s">
        <v>112</v>
      </c>
      <c r="B104" s="1">
        <v>12.95</v>
      </c>
      <c r="C104" s="1">
        <v>26.9</v>
      </c>
      <c r="D104" s="1">
        <f>Tabelle1[[#This Row],[Gross Sales Price]]/1.18</f>
        <v>22.796610169491526</v>
      </c>
      <c r="E104" s="1">
        <f>Tabelle1[[#This Row],[Gross Sales Price]]*0.12</f>
        <v>3.2279999999999998</v>
      </c>
      <c r="F104" s="1">
        <v>0.4</v>
      </c>
      <c r="G104" s="1">
        <v>3</v>
      </c>
      <c r="H104" s="1">
        <v>2</v>
      </c>
      <c r="I104" s="2">
        <f>Tabelle1[[#This Row],[Base Price]]+Tabelle1[[#This Row],[Total Selling Costs
	]]+Tabelle1[[#This Row],[DHL Costs]]+Tabelle1[[#This Row],[Handling Costs]]+Tabelle1[[#This Row],[Fixed Costs]]</f>
        <v>21.577999999999996</v>
      </c>
      <c r="J104" s="1">
        <f>Tabelle1[[#This Row],[Net Sales Price]]-Tabelle1[[#This Row],[Variable Costs]]</f>
        <v>1.2186101694915301</v>
      </c>
    </row>
    <row r="105" spans="1:10" ht="14.25" customHeight="1" x14ac:dyDescent="0.25">
      <c r="A105" s="8" t="s">
        <v>113</v>
      </c>
      <c r="B105" s="1">
        <v>5.27</v>
      </c>
      <c r="C105" s="1">
        <v>4.01</v>
      </c>
      <c r="D105" s="1">
        <f>Tabelle1[[#This Row],[Gross Sales Price]]/1.18</f>
        <v>3.3983050847457625</v>
      </c>
      <c r="E105" s="1">
        <f>Tabelle1[[#This Row],[Gross Sales Price]]*0.12</f>
        <v>0.48119999999999996</v>
      </c>
      <c r="F105" s="1">
        <v>0.4</v>
      </c>
      <c r="G105" s="1">
        <v>3</v>
      </c>
      <c r="H105" s="1">
        <v>2</v>
      </c>
      <c r="I105" s="2">
        <f>Tabelle1[[#This Row],[Base Price]]+Tabelle1[[#This Row],[Total Selling Costs
	]]+Tabelle1[[#This Row],[DHL Costs]]+Tabelle1[[#This Row],[Handling Costs]]+Tabelle1[[#This Row],[Fixed Costs]]</f>
        <v>11.151200000000001</v>
      </c>
      <c r="J105" s="2">
        <f>Tabelle1[[#This Row],[Net Sales Price]]-Tabelle1[[#This Row],[Variable Costs]]</f>
        <v>-7.7528949152542381</v>
      </c>
    </row>
    <row r="106" spans="1:10" ht="14.25" customHeight="1" x14ac:dyDescent="0.25">
      <c r="A106" s="8" t="s">
        <v>114</v>
      </c>
      <c r="B106" s="1">
        <v>9.1199999999999992</v>
      </c>
      <c r="C106" s="1">
        <v>1.83</v>
      </c>
      <c r="D106" s="1">
        <f>Tabelle1[[#This Row],[Gross Sales Price]]/1.18</f>
        <v>1.5508474576271187</v>
      </c>
      <c r="E106" s="1">
        <f>Tabelle1[[#This Row],[Gross Sales Price]]*0.12</f>
        <v>0.21959999999999999</v>
      </c>
      <c r="F106" s="1">
        <v>0.4</v>
      </c>
      <c r="G106" s="1">
        <v>3</v>
      </c>
      <c r="H106" s="1">
        <v>2</v>
      </c>
      <c r="I106" s="2">
        <f>Tabelle1[[#This Row],[Base Price]]+Tabelle1[[#This Row],[Total Selling Costs
	]]+Tabelle1[[#This Row],[DHL Costs]]+Tabelle1[[#This Row],[Handling Costs]]+Tabelle1[[#This Row],[Fixed Costs]]</f>
        <v>14.739599999999999</v>
      </c>
      <c r="J106" s="2">
        <f>Tabelle1[[#This Row],[Net Sales Price]]-Tabelle1[[#This Row],[Variable Costs]]</f>
        <v>-13.18875254237288</v>
      </c>
    </row>
    <row r="107" spans="1:10" ht="14.25" customHeight="1" x14ac:dyDescent="0.25">
      <c r="A107" s="8" t="s">
        <v>115</v>
      </c>
      <c r="B107" s="1">
        <v>4.17</v>
      </c>
      <c r="C107" s="1">
        <v>34.32</v>
      </c>
      <c r="D107" s="1">
        <f>Tabelle1[[#This Row],[Gross Sales Price]]/1.18</f>
        <v>29.084745762711865</v>
      </c>
      <c r="E107" s="1">
        <f>Tabelle1[[#This Row],[Gross Sales Price]]*0.12</f>
        <v>4.1184000000000003</v>
      </c>
      <c r="F107" s="1">
        <v>0.4</v>
      </c>
      <c r="G107" s="1">
        <v>3</v>
      </c>
      <c r="H107" s="1">
        <v>2</v>
      </c>
      <c r="I107" s="2">
        <f>Tabelle1[[#This Row],[Base Price]]+Tabelle1[[#This Row],[Total Selling Costs
	]]+Tabelle1[[#This Row],[DHL Costs]]+Tabelle1[[#This Row],[Handling Costs]]+Tabelle1[[#This Row],[Fixed Costs]]</f>
        <v>13.6884</v>
      </c>
      <c r="J107" s="1">
        <f>Tabelle1[[#This Row],[Net Sales Price]]-Tabelle1[[#This Row],[Variable Costs]]</f>
        <v>15.396345762711865</v>
      </c>
    </row>
    <row r="108" spans="1:10" ht="14.25" customHeight="1" x14ac:dyDescent="0.25">
      <c r="A108" s="8" t="s">
        <v>116</v>
      </c>
      <c r="B108" s="1">
        <v>2.72</v>
      </c>
      <c r="C108" s="1">
        <v>29.57</v>
      </c>
      <c r="D108" s="1">
        <f>Tabelle1[[#This Row],[Gross Sales Price]]/1.18</f>
        <v>25.059322033898308</v>
      </c>
      <c r="E108" s="1">
        <f>Tabelle1[[#This Row],[Gross Sales Price]]*0.12</f>
        <v>3.5484</v>
      </c>
      <c r="F108" s="1">
        <v>0.4</v>
      </c>
      <c r="G108" s="1">
        <v>3</v>
      </c>
      <c r="H108" s="1">
        <v>2</v>
      </c>
      <c r="I108" s="2">
        <f>Tabelle1[[#This Row],[Base Price]]+Tabelle1[[#This Row],[Total Selling Costs
	]]+Tabelle1[[#This Row],[DHL Costs]]+Tabelle1[[#This Row],[Handling Costs]]+Tabelle1[[#This Row],[Fixed Costs]]</f>
        <v>11.6684</v>
      </c>
      <c r="J108" s="2">
        <f>Tabelle1[[#This Row],[Net Sales Price]]-Tabelle1[[#This Row],[Variable Costs]]</f>
        <v>13.390922033898308</v>
      </c>
    </row>
    <row r="109" spans="1:10" ht="14.25" customHeight="1" x14ac:dyDescent="0.25">
      <c r="A109" s="8" t="s">
        <v>117</v>
      </c>
      <c r="B109" s="1">
        <v>5.27</v>
      </c>
      <c r="C109" s="1">
        <v>28.92</v>
      </c>
      <c r="D109" s="1">
        <f>Tabelle1[[#This Row],[Gross Sales Price]]/1.18</f>
        <v>24.50847457627119</v>
      </c>
      <c r="E109" s="1">
        <f>Tabelle1[[#This Row],[Gross Sales Price]]*0.12</f>
        <v>3.4704000000000002</v>
      </c>
      <c r="F109" s="1">
        <v>0.4</v>
      </c>
      <c r="G109" s="1">
        <v>3</v>
      </c>
      <c r="H109" s="1">
        <v>2</v>
      </c>
      <c r="I109" s="2">
        <f>Tabelle1[[#This Row],[Base Price]]+Tabelle1[[#This Row],[Total Selling Costs
	]]+Tabelle1[[#This Row],[DHL Costs]]+Tabelle1[[#This Row],[Handling Costs]]+Tabelle1[[#This Row],[Fixed Costs]]</f>
        <v>14.1404</v>
      </c>
      <c r="J109" s="2">
        <f>Tabelle1[[#This Row],[Net Sales Price]]-Tabelle1[[#This Row],[Variable Costs]]</f>
        <v>10.368074576271191</v>
      </c>
    </row>
    <row r="110" spans="1:10" ht="14.25" customHeight="1" x14ac:dyDescent="0.25">
      <c r="A110" s="8" t="s">
        <v>118</v>
      </c>
      <c r="B110" s="1">
        <v>7.94</v>
      </c>
      <c r="C110" s="1">
        <v>19.13</v>
      </c>
      <c r="D110" s="1">
        <f>Tabelle1[[#This Row],[Gross Sales Price]]/1.18</f>
        <v>16.211864406779661</v>
      </c>
      <c r="E110" s="1">
        <f>Tabelle1[[#This Row],[Gross Sales Price]]*0.12</f>
        <v>2.2955999999999999</v>
      </c>
      <c r="F110" s="1">
        <v>0.4</v>
      </c>
      <c r="G110" s="1">
        <v>3</v>
      </c>
      <c r="H110" s="1">
        <v>2</v>
      </c>
      <c r="I110" s="2">
        <f>Tabelle1[[#This Row],[Base Price]]+Tabelle1[[#This Row],[Total Selling Costs
	]]+Tabelle1[[#This Row],[DHL Costs]]+Tabelle1[[#This Row],[Handling Costs]]+Tabelle1[[#This Row],[Fixed Costs]]</f>
        <v>15.6356</v>
      </c>
      <c r="J110" s="1">
        <f>Tabelle1[[#This Row],[Net Sales Price]]-Tabelle1[[#This Row],[Variable Costs]]</f>
        <v>0.57626440677966073</v>
      </c>
    </row>
    <row r="111" spans="1:10" ht="14.25" customHeight="1" x14ac:dyDescent="0.25">
      <c r="A111" s="8" t="s">
        <v>119</v>
      </c>
      <c r="B111" s="1">
        <v>3.52</v>
      </c>
      <c r="C111" s="1">
        <v>4.0999999999999996</v>
      </c>
      <c r="D111" s="1">
        <f>Tabelle1[[#This Row],[Gross Sales Price]]/1.18</f>
        <v>3.4745762711864407</v>
      </c>
      <c r="E111" s="1">
        <f>Tabelle1[[#This Row],[Gross Sales Price]]*0.12</f>
        <v>0.49199999999999994</v>
      </c>
      <c r="F111" s="1">
        <v>0.4</v>
      </c>
      <c r="G111" s="1">
        <v>3</v>
      </c>
      <c r="H111" s="1">
        <v>2</v>
      </c>
      <c r="I111" s="2">
        <f>Tabelle1[[#This Row],[Base Price]]+Tabelle1[[#This Row],[Total Selling Costs
	]]+Tabelle1[[#This Row],[DHL Costs]]+Tabelle1[[#This Row],[Handling Costs]]+Tabelle1[[#This Row],[Fixed Costs]]</f>
        <v>9.4120000000000008</v>
      </c>
      <c r="J111" s="2">
        <f>Tabelle1[[#This Row],[Net Sales Price]]-Tabelle1[[#This Row],[Variable Costs]]</f>
        <v>-5.9374237288135596</v>
      </c>
    </row>
    <row r="112" spans="1:10" ht="14.25" customHeight="1" x14ac:dyDescent="0.25">
      <c r="A112" s="8" t="s">
        <v>120</v>
      </c>
      <c r="B112" s="1">
        <v>8.0299999999999994</v>
      </c>
      <c r="C112" s="1">
        <v>23.59</v>
      </c>
      <c r="D112" s="1">
        <f>Tabelle1[[#This Row],[Gross Sales Price]]/1.18</f>
        <v>19.991525423728813</v>
      </c>
      <c r="E112" s="1">
        <f>Tabelle1[[#This Row],[Gross Sales Price]]*0.12</f>
        <v>2.8308</v>
      </c>
      <c r="F112" s="1">
        <v>0.4</v>
      </c>
      <c r="G112" s="1">
        <v>3</v>
      </c>
      <c r="H112" s="1">
        <v>2</v>
      </c>
      <c r="I112" s="2">
        <f>Tabelle1[[#This Row],[Base Price]]+Tabelle1[[#This Row],[Total Selling Costs
	]]+Tabelle1[[#This Row],[DHL Costs]]+Tabelle1[[#This Row],[Handling Costs]]+Tabelle1[[#This Row],[Fixed Costs]]</f>
        <v>16.2608</v>
      </c>
      <c r="J112" s="2">
        <f>Tabelle1[[#This Row],[Net Sales Price]]-Tabelle1[[#This Row],[Variable Costs]]</f>
        <v>3.7307254237288134</v>
      </c>
    </row>
    <row r="113" spans="1:10" ht="14.25" customHeight="1" x14ac:dyDescent="0.25">
      <c r="A113" s="8" t="s">
        <v>121</v>
      </c>
      <c r="B113" s="1">
        <v>12.62</v>
      </c>
      <c r="C113" s="1">
        <v>14.86</v>
      </c>
      <c r="D113" s="1">
        <f>Tabelle1[[#This Row],[Gross Sales Price]]/1.18</f>
        <v>12.59322033898305</v>
      </c>
      <c r="E113" s="1">
        <f>Tabelle1[[#This Row],[Gross Sales Price]]*0.12</f>
        <v>1.7831999999999999</v>
      </c>
      <c r="F113" s="1">
        <v>0.4</v>
      </c>
      <c r="G113" s="1">
        <v>3</v>
      </c>
      <c r="H113" s="1">
        <v>2</v>
      </c>
      <c r="I113" s="2">
        <f>Tabelle1[[#This Row],[Base Price]]+Tabelle1[[#This Row],[Total Selling Costs
	]]+Tabelle1[[#This Row],[DHL Costs]]+Tabelle1[[#This Row],[Handling Costs]]+Tabelle1[[#This Row],[Fixed Costs]]</f>
        <v>19.803199999999997</v>
      </c>
      <c r="J113" s="1">
        <f>Tabelle1[[#This Row],[Net Sales Price]]-Tabelle1[[#This Row],[Variable Costs]]</f>
        <v>-7.2099796610169467</v>
      </c>
    </row>
    <row r="114" spans="1:10" ht="14.25" customHeight="1" x14ac:dyDescent="0.25">
      <c r="A114" s="8" t="s">
        <v>122</v>
      </c>
      <c r="B114" s="1">
        <v>8.58</v>
      </c>
      <c r="C114" s="1">
        <v>11.51</v>
      </c>
      <c r="D114" s="1">
        <f>Tabelle1[[#This Row],[Gross Sales Price]]/1.18</f>
        <v>9.7542372881355934</v>
      </c>
      <c r="E114" s="1">
        <f>Tabelle1[[#This Row],[Gross Sales Price]]*0.12</f>
        <v>1.3812</v>
      </c>
      <c r="F114" s="1">
        <v>0.4</v>
      </c>
      <c r="G114" s="1">
        <v>3</v>
      </c>
      <c r="H114" s="1">
        <v>2</v>
      </c>
      <c r="I114" s="2">
        <f>Tabelle1[[#This Row],[Base Price]]+Tabelle1[[#This Row],[Total Selling Costs
	]]+Tabelle1[[#This Row],[DHL Costs]]+Tabelle1[[#This Row],[Handling Costs]]+Tabelle1[[#This Row],[Fixed Costs]]</f>
        <v>15.3612</v>
      </c>
      <c r="J114" s="1">
        <f>Tabelle1[[#This Row],[Net Sales Price]]-Tabelle1[[#This Row],[Variable Costs]]</f>
        <v>-5.6069627118644068</v>
      </c>
    </row>
    <row r="115" spans="1:10" ht="14.25" customHeight="1" x14ac:dyDescent="0.25">
      <c r="A115" s="8" t="s">
        <v>123</v>
      </c>
      <c r="B115" s="1">
        <v>11.11</v>
      </c>
      <c r="C115" s="1">
        <v>30.94</v>
      </c>
      <c r="D115" s="1">
        <f>Tabelle1[[#This Row],[Gross Sales Price]]/1.18</f>
        <v>26.220338983050851</v>
      </c>
      <c r="E115" s="1">
        <f>Tabelle1[[#This Row],[Gross Sales Price]]*0.12</f>
        <v>3.7128000000000001</v>
      </c>
      <c r="F115" s="1">
        <v>0.4</v>
      </c>
      <c r="G115" s="1">
        <v>3</v>
      </c>
      <c r="H115" s="1">
        <v>2</v>
      </c>
      <c r="I115" s="2">
        <f>Tabelle1[[#This Row],[Base Price]]+Tabelle1[[#This Row],[Total Selling Costs
	]]+Tabelle1[[#This Row],[DHL Costs]]+Tabelle1[[#This Row],[Handling Costs]]+Tabelle1[[#This Row],[Fixed Costs]]</f>
        <v>20.222799999999999</v>
      </c>
      <c r="J115" s="1">
        <f>Tabelle1[[#This Row],[Net Sales Price]]-Tabelle1[[#This Row],[Variable Costs]]</f>
        <v>5.9975389830508519</v>
      </c>
    </row>
    <row r="116" spans="1:10" ht="14.25" customHeight="1" x14ac:dyDescent="0.25">
      <c r="A116" s="8" t="s">
        <v>124</v>
      </c>
      <c r="B116" s="1">
        <v>4.79</v>
      </c>
      <c r="C116" s="1">
        <v>36.01</v>
      </c>
      <c r="D116" s="1">
        <f>Tabelle1[[#This Row],[Gross Sales Price]]/1.18</f>
        <v>30.516949152542374</v>
      </c>
      <c r="E116" s="1">
        <f>Tabelle1[[#This Row],[Gross Sales Price]]*0.12</f>
        <v>4.3211999999999993</v>
      </c>
      <c r="F116" s="1">
        <v>0.4</v>
      </c>
      <c r="G116" s="1">
        <v>3</v>
      </c>
      <c r="H116" s="1">
        <v>2</v>
      </c>
      <c r="I116" s="2">
        <f>Tabelle1[[#This Row],[Base Price]]+Tabelle1[[#This Row],[Total Selling Costs
	]]+Tabelle1[[#This Row],[DHL Costs]]+Tabelle1[[#This Row],[Handling Costs]]+Tabelle1[[#This Row],[Fixed Costs]]</f>
        <v>14.511200000000001</v>
      </c>
      <c r="J116" s="1">
        <f>Tabelle1[[#This Row],[Net Sales Price]]-Tabelle1[[#This Row],[Variable Costs]]</f>
        <v>16.005749152542371</v>
      </c>
    </row>
    <row r="117" spans="1:10" ht="14.25" customHeight="1" x14ac:dyDescent="0.25">
      <c r="A117" s="8" t="s">
        <v>125</v>
      </c>
      <c r="B117" s="1">
        <v>17.440000000000001</v>
      </c>
      <c r="C117" s="1">
        <v>22.7</v>
      </c>
      <c r="D117" s="1">
        <f>Tabelle1[[#This Row],[Gross Sales Price]]/1.18</f>
        <v>19.237288135593221</v>
      </c>
      <c r="E117" s="1">
        <f>Tabelle1[[#This Row],[Gross Sales Price]]*0.12</f>
        <v>2.7239999999999998</v>
      </c>
      <c r="F117" s="1">
        <v>0.4</v>
      </c>
      <c r="G117" s="1">
        <v>3</v>
      </c>
      <c r="H117" s="1">
        <v>2</v>
      </c>
      <c r="I117" s="2">
        <f>Tabelle1[[#This Row],[Base Price]]+Tabelle1[[#This Row],[Total Selling Costs
	]]+Tabelle1[[#This Row],[DHL Costs]]+Tabelle1[[#This Row],[Handling Costs]]+Tabelle1[[#This Row],[Fixed Costs]]</f>
        <v>25.564</v>
      </c>
      <c r="J117" s="1">
        <f>Tabelle1[[#This Row],[Net Sales Price]]-Tabelle1[[#This Row],[Variable Costs]]</f>
        <v>-6.3267118644067786</v>
      </c>
    </row>
    <row r="118" spans="1:10" ht="14.25" customHeight="1" x14ac:dyDescent="0.25">
      <c r="A118" s="8" t="s">
        <v>126</v>
      </c>
      <c r="B118" s="1">
        <v>5.84</v>
      </c>
      <c r="C118" s="1">
        <v>27.28</v>
      </c>
      <c r="D118" s="1">
        <f>Tabelle1[[#This Row],[Gross Sales Price]]/1.18</f>
        <v>23.118644067796613</v>
      </c>
      <c r="E118" s="1">
        <f>Tabelle1[[#This Row],[Gross Sales Price]]*0.12</f>
        <v>3.2736000000000001</v>
      </c>
      <c r="F118" s="1">
        <v>0.4</v>
      </c>
      <c r="G118" s="1">
        <v>3</v>
      </c>
      <c r="H118" s="1">
        <v>2</v>
      </c>
      <c r="I118" s="2">
        <f>Tabelle1[[#This Row],[Base Price]]+Tabelle1[[#This Row],[Total Selling Costs
	]]+Tabelle1[[#This Row],[DHL Costs]]+Tabelle1[[#This Row],[Handling Costs]]+Tabelle1[[#This Row],[Fixed Costs]]</f>
        <v>14.5136</v>
      </c>
      <c r="J118" s="1">
        <f>Tabelle1[[#This Row],[Net Sales Price]]-Tabelle1[[#This Row],[Variable Costs]]</f>
        <v>8.6050440677966122</v>
      </c>
    </row>
    <row r="119" spans="1:10" ht="14.25" customHeight="1" x14ac:dyDescent="0.25">
      <c r="A119" s="8" t="s">
        <v>127</v>
      </c>
      <c r="B119" s="1">
        <v>17.600000000000001</v>
      </c>
      <c r="C119" s="1">
        <v>37.08</v>
      </c>
      <c r="D119" s="1">
        <f>Tabelle1[[#This Row],[Gross Sales Price]]/1.18</f>
        <v>31.423728813559322</v>
      </c>
      <c r="E119" s="1">
        <f>Tabelle1[[#This Row],[Gross Sales Price]]*0.12</f>
        <v>4.4495999999999993</v>
      </c>
      <c r="F119" s="1">
        <v>0.4</v>
      </c>
      <c r="G119" s="1">
        <v>3</v>
      </c>
      <c r="H119" s="1">
        <v>2</v>
      </c>
      <c r="I119" s="2">
        <f>Tabelle1[[#This Row],[Base Price]]+Tabelle1[[#This Row],[Total Selling Costs
	]]+Tabelle1[[#This Row],[DHL Costs]]+Tabelle1[[#This Row],[Handling Costs]]+Tabelle1[[#This Row],[Fixed Costs]]</f>
        <v>27.4496</v>
      </c>
      <c r="J119" s="1">
        <f>Tabelle1[[#This Row],[Net Sales Price]]-Tabelle1[[#This Row],[Variable Costs]]</f>
        <v>3.9741288135593216</v>
      </c>
    </row>
    <row r="120" spans="1:10" ht="14.25" customHeight="1" x14ac:dyDescent="0.25">
      <c r="A120" s="8" t="s">
        <v>128</v>
      </c>
      <c r="B120" s="1">
        <v>16.68</v>
      </c>
      <c r="C120" s="1">
        <v>32.869999999999997</v>
      </c>
      <c r="D120" s="1">
        <f>Tabelle1[[#This Row],[Gross Sales Price]]/1.18</f>
        <v>27.85593220338983</v>
      </c>
      <c r="E120" s="1">
        <f>Tabelle1[[#This Row],[Gross Sales Price]]*0.12</f>
        <v>3.9443999999999995</v>
      </c>
      <c r="F120" s="1">
        <v>0.4</v>
      </c>
      <c r="G120" s="1">
        <v>3</v>
      </c>
      <c r="H120" s="1">
        <v>2</v>
      </c>
      <c r="I120" s="2">
        <f>Tabelle1[[#This Row],[Base Price]]+Tabelle1[[#This Row],[Total Selling Costs
	]]+Tabelle1[[#This Row],[DHL Costs]]+Tabelle1[[#This Row],[Handling Costs]]+Tabelle1[[#This Row],[Fixed Costs]]</f>
        <v>26.024399999999996</v>
      </c>
      <c r="J120" s="1">
        <f>Tabelle1[[#This Row],[Net Sales Price]]-Tabelle1[[#This Row],[Variable Costs]]</f>
        <v>1.831532203389834</v>
      </c>
    </row>
    <row r="121" spans="1:10" ht="14.25" customHeight="1" x14ac:dyDescent="0.25">
      <c r="A121" s="8" t="s">
        <v>129</v>
      </c>
      <c r="B121" s="1">
        <v>16.64</v>
      </c>
      <c r="C121" s="1">
        <v>6.1</v>
      </c>
      <c r="D121" s="1">
        <f>Tabelle1[[#This Row],[Gross Sales Price]]/1.18</f>
        <v>5.1694915254237284</v>
      </c>
      <c r="E121" s="1">
        <f>Tabelle1[[#This Row],[Gross Sales Price]]*0.12</f>
        <v>0.73199999999999998</v>
      </c>
      <c r="F121" s="1">
        <v>0.4</v>
      </c>
      <c r="G121" s="1">
        <v>3</v>
      </c>
      <c r="H121" s="1">
        <v>2</v>
      </c>
      <c r="I121" s="2">
        <f>Tabelle1[[#This Row],[Base Price]]+Tabelle1[[#This Row],[Total Selling Costs
	]]+Tabelle1[[#This Row],[DHL Costs]]+Tabelle1[[#This Row],[Handling Costs]]+Tabelle1[[#This Row],[Fixed Costs]]</f>
        <v>22.771999999999998</v>
      </c>
      <c r="J121" s="1">
        <f>Tabelle1[[#This Row],[Net Sales Price]]-Tabelle1[[#This Row],[Variable Costs]]</f>
        <v>-17.602508474576268</v>
      </c>
    </row>
    <row r="122" spans="1:10" ht="14.25" customHeight="1" x14ac:dyDescent="0.25">
      <c r="A122" s="8" t="s">
        <v>130</v>
      </c>
      <c r="B122" s="1">
        <v>15.77</v>
      </c>
      <c r="C122" s="1">
        <v>34.54</v>
      </c>
      <c r="D122" s="1">
        <f>Tabelle1[[#This Row],[Gross Sales Price]]/1.18</f>
        <v>29.271186440677965</v>
      </c>
      <c r="E122" s="1">
        <f>Tabelle1[[#This Row],[Gross Sales Price]]*0.12</f>
        <v>4.1448</v>
      </c>
      <c r="F122" s="1">
        <v>0.4</v>
      </c>
      <c r="G122" s="1">
        <v>3</v>
      </c>
      <c r="H122" s="1">
        <v>2</v>
      </c>
      <c r="I122" s="2">
        <f>Tabelle1[[#This Row],[Base Price]]+Tabelle1[[#This Row],[Total Selling Costs
	]]+Tabelle1[[#This Row],[DHL Costs]]+Tabelle1[[#This Row],[Handling Costs]]+Tabelle1[[#This Row],[Fixed Costs]]</f>
        <v>25.314799999999998</v>
      </c>
      <c r="J122" s="1">
        <f>Tabelle1[[#This Row],[Net Sales Price]]-Tabelle1[[#This Row],[Variable Costs]]</f>
        <v>3.9563864406779672</v>
      </c>
    </row>
    <row r="123" spans="1:10" ht="14.25" customHeight="1" x14ac:dyDescent="0.25">
      <c r="A123" s="8" t="s">
        <v>131</v>
      </c>
      <c r="B123" s="1">
        <v>16.55</v>
      </c>
      <c r="C123" s="1">
        <v>2.35</v>
      </c>
      <c r="D123" s="1">
        <f>Tabelle1[[#This Row],[Gross Sales Price]]/1.18</f>
        <v>1.9915254237288138</v>
      </c>
      <c r="E123" s="1">
        <f>Tabelle1[[#This Row],[Gross Sales Price]]*0.12</f>
        <v>0.28199999999999997</v>
      </c>
      <c r="F123" s="1">
        <v>0.4</v>
      </c>
      <c r="G123" s="1">
        <v>3</v>
      </c>
      <c r="H123" s="1">
        <v>2</v>
      </c>
      <c r="I123" s="2">
        <f>Tabelle1[[#This Row],[Base Price]]+Tabelle1[[#This Row],[Total Selling Costs
	]]+Tabelle1[[#This Row],[DHL Costs]]+Tabelle1[[#This Row],[Handling Costs]]+Tabelle1[[#This Row],[Fixed Costs]]</f>
        <v>22.231999999999999</v>
      </c>
      <c r="J123" s="1">
        <f>Tabelle1[[#This Row],[Net Sales Price]]-Tabelle1[[#This Row],[Variable Costs]]</f>
        <v>-20.240474576271186</v>
      </c>
    </row>
    <row r="124" spans="1:10" ht="14.25" customHeight="1" x14ac:dyDescent="0.25">
      <c r="A124" s="8" t="s">
        <v>132</v>
      </c>
      <c r="B124" s="1">
        <v>1.81</v>
      </c>
      <c r="C124" s="1">
        <v>29.76</v>
      </c>
      <c r="D124" s="1">
        <f>Tabelle1[[#This Row],[Gross Sales Price]]/1.18</f>
        <v>25.220338983050851</v>
      </c>
      <c r="E124" s="1">
        <f>Tabelle1[[#This Row],[Gross Sales Price]]*0.12</f>
        <v>3.5712000000000002</v>
      </c>
      <c r="F124" s="1">
        <v>0.4</v>
      </c>
      <c r="G124" s="1">
        <v>3</v>
      </c>
      <c r="H124" s="1">
        <v>2</v>
      </c>
      <c r="I124" s="2">
        <f>Tabelle1[[#This Row],[Base Price]]+Tabelle1[[#This Row],[Total Selling Costs
	]]+Tabelle1[[#This Row],[DHL Costs]]+Tabelle1[[#This Row],[Handling Costs]]+Tabelle1[[#This Row],[Fixed Costs]]</f>
        <v>10.7812</v>
      </c>
      <c r="J124" s="1">
        <f>Tabelle1[[#This Row],[Net Sales Price]]-Tabelle1[[#This Row],[Variable Costs]]</f>
        <v>14.439138983050851</v>
      </c>
    </row>
    <row r="125" spans="1:10" ht="14.25" customHeight="1" x14ac:dyDescent="0.25">
      <c r="A125" s="8" t="s">
        <v>133</v>
      </c>
      <c r="B125" s="1">
        <v>3.57</v>
      </c>
      <c r="C125" s="1">
        <v>10.27</v>
      </c>
      <c r="D125" s="1">
        <f>Tabelle1[[#This Row],[Gross Sales Price]]/1.18</f>
        <v>8.703389830508474</v>
      </c>
      <c r="E125" s="1">
        <f>Tabelle1[[#This Row],[Gross Sales Price]]*0.12</f>
        <v>1.2323999999999999</v>
      </c>
      <c r="F125" s="1">
        <v>0.4</v>
      </c>
      <c r="G125" s="1">
        <v>3</v>
      </c>
      <c r="H125" s="1">
        <v>2</v>
      </c>
      <c r="I125" s="2">
        <f>Tabelle1[[#This Row],[Base Price]]+Tabelle1[[#This Row],[Total Selling Costs
	]]+Tabelle1[[#This Row],[DHL Costs]]+Tabelle1[[#This Row],[Handling Costs]]+Tabelle1[[#This Row],[Fixed Costs]]</f>
        <v>10.202399999999999</v>
      </c>
      <c r="J125" s="1">
        <f>Tabelle1[[#This Row],[Net Sales Price]]-Tabelle1[[#This Row],[Variable Costs]]</f>
        <v>-1.499010169491525</v>
      </c>
    </row>
    <row r="126" spans="1:10" ht="14.25" customHeight="1" x14ac:dyDescent="0.25">
      <c r="A126" s="8" t="s">
        <v>134</v>
      </c>
      <c r="B126" s="1">
        <v>6.41</v>
      </c>
      <c r="C126" s="1">
        <v>33.22</v>
      </c>
      <c r="D126" s="1">
        <f>Tabelle1[[#This Row],[Gross Sales Price]]/1.18</f>
        <v>28.152542372881356</v>
      </c>
      <c r="E126" s="1">
        <f>Tabelle1[[#This Row],[Gross Sales Price]]*0.12</f>
        <v>3.9863999999999997</v>
      </c>
      <c r="F126" s="1">
        <v>0.4</v>
      </c>
      <c r="G126" s="1">
        <v>3</v>
      </c>
      <c r="H126" s="1">
        <v>2</v>
      </c>
      <c r="I126" s="2">
        <f>Tabelle1[[#This Row],[Base Price]]+Tabelle1[[#This Row],[Total Selling Costs
	]]+Tabelle1[[#This Row],[DHL Costs]]+Tabelle1[[#This Row],[Handling Costs]]+Tabelle1[[#This Row],[Fixed Costs]]</f>
        <v>15.7964</v>
      </c>
      <c r="J126" s="1">
        <f>Tabelle1[[#This Row],[Net Sales Price]]-Tabelle1[[#This Row],[Variable Costs]]</f>
        <v>12.356142372881356</v>
      </c>
    </row>
    <row r="127" spans="1:10" ht="14.25" customHeight="1" x14ac:dyDescent="0.25">
      <c r="A127" s="8" t="s">
        <v>135</v>
      </c>
      <c r="B127" s="1">
        <v>6.05</v>
      </c>
      <c r="C127" s="1">
        <v>39.01</v>
      </c>
      <c r="D127" s="1">
        <f>Tabelle1[[#This Row],[Gross Sales Price]]/1.18</f>
        <v>33.059322033898304</v>
      </c>
      <c r="E127" s="1">
        <f>Tabelle1[[#This Row],[Gross Sales Price]]*0.12</f>
        <v>4.6811999999999996</v>
      </c>
      <c r="F127" s="1">
        <v>0.4</v>
      </c>
      <c r="G127" s="1">
        <v>3</v>
      </c>
      <c r="H127" s="1">
        <v>2</v>
      </c>
      <c r="I127" s="2">
        <f>Tabelle1[[#This Row],[Base Price]]+Tabelle1[[#This Row],[Total Selling Costs
	]]+Tabelle1[[#This Row],[DHL Costs]]+Tabelle1[[#This Row],[Handling Costs]]+Tabelle1[[#This Row],[Fixed Costs]]</f>
        <v>16.1312</v>
      </c>
      <c r="J127" s="1">
        <f>Tabelle1[[#This Row],[Net Sales Price]]-Tabelle1[[#This Row],[Variable Costs]]</f>
        <v>16.928122033898305</v>
      </c>
    </row>
    <row r="128" spans="1:10" ht="14.25" customHeight="1" x14ac:dyDescent="0.25">
      <c r="A128" s="8" t="s">
        <v>136</v>
      </c>
      <c r="B128" s="1">
        <v>14.05</v>
      </c>
      <c r="C128" s="1">
        <v>22.34</v>
      </c>
      <c r="D128" s="1">
        <f>Tabelle1[[#This Row],[Gross Sales Price]]/1.18</f>
        <v>18.932203389830509</v>
      </c>
      <c r="E128" s="1">
        <f>Tabelle1[[#This Row],[Gross Sales Price]]*0.12</f>
        <v>2.6808000000000001</v>
      </c>
      <c r="F128" s="1">
        <v>0.4</v>
      </c>
      <c r="G128" s="1">
        <v>3</v>
      </c>
      <c r="H128" s="1">
        <v>2</v>
      </c>
      <c r="I128" s="2">
        <f>Tabelle1[[#This Row],[Base Price]]+Tabelle1[[#This Row],[Total Selling Costs
	]]+Tabelle1[[#This Row],[DHL Costs]]+Tabelle1[[#This Row],[Handling Costs]]+Tabelle1[[#This Row],[Fixed Costs]]</f>
        <v>22.130800000000001</v>
      </c>
      <c r="J128" s="1">
        <f>Tabelle1[[#This Row],[Net Sales Price]]-Tabelle1[[#This Row],[Variable Costs]]</f>
        <v>-3.198596610169492</v>
      </c>
    </row>
    <row r="129" spans="1:10" ht="14.25" customHeight="1" x14ac:dyDescent="0.25">
      <c r="A129" s="8" t="s">
        <v>137</v>
      </c>
      <c r="B129" s="1">
        <v>15.85</v>
      </c>
      <c r="C129" s="1">
        <v>29.39</v>
      </c>
      <c r="D129" s="1">
        <f>Tabelle1[[#This Row],[Gross Sales Price]]/1.18</f>
        <v>24.906779661016952</v>
      </c>
      <c r="E129" s="1">
        <f>Tabelle1[[#This Row],[Gross Sales Price]]*0.12</f>
        <v>3.5268000000000002</v>
      </c>
      <c r="F129" s="1">
        <v>0.4</v>
      </c>
      <c r="G129" s="1">
        <v>3</v>
      </c>
      <c r="H129" s="1">
        <v>2</v>
      </c>
      <c r="I129" s="2">
        <f>Tabelle1[[#This Row],[Base Price]]+Tabelle1[[#This Row],[Total Selling Costs
	]]+Tabelle1[[#This Row],[DHL Costs]]+Tabelle1[[#This Row],[Handling Costs]]+Tabelle1[[#This Row],[Fixed Costs]]</f>
        <v>24.776799999999998</v>
      </c>
      <c r="J129" s="1">
        <f>Tabelle1[[#This Row],[Net Sales Price]]-Tabelle1[[#This Row],[Variable Costs]]</f>
        <v>0.12997966101695368</v>
      </c>
    </row>
    <row r="130" spans="1:10" ht="14.25" customHeight="1" x14ac:dyDescent="0.25">
      <c r="A130" s="8" t="s">
        <v>138</v>
      </c>
      <c r="B130" s="1">
        <v>3.52</v>
      </c>
      <c r="C130" s="1">
        <v>26.78</v>
      </c>
      <c r="D130" s="1">
        <f>Tabelle1[[#This Row],[Gross Sales Price]]/1.18</f>
        <v>22.694915254237291</v>
      </c>
      <c r="E130" s="1">
        <f>Tabelle1[[#This Row],[Gross Sales Price]]*0.12</f>
        <v>3.2136</v>
      </c>
      <c r="F130" s="1">
        <v>0.4</v>
      </c>
      <c r="G130" s="1">
        <v>3</v>
      </c>
      <c r="H130" s="1">
        <v>2</v>
      </c>
      <c r="I130" s="2">
        <f>Tabelle1[[#This Row],[Base Price]]+Tabelle1[[#This Row],[Total Selling Costs
	]]+Tabelle1[[#This Row],[DHL Costs]]+Tabelle1[[#This Row],[Handling Costs]]+Tabelle1[[#This Row],[Fixed Costs]]</f>
        <v>12.133599999999999</v>
      </c>
      <c r="J130" s="1">
        <f>Tabelle1[[#This Row],[Net Sales Price]]-Tabelle1[[#This Row],[Variable Costs]]</f>
        <v>10.561315254237291</v>
      </c>
    </row>
    <row r="131" spans="1:10" ht="14.25" customHeight="1" x14ac:dyDescent="0.25">
      <c r="A131" s="8" t="s">
        <v>139</v>
      </c>
      <c r="B131" s="1">
        <v>6.88</v>
      </c>
      <c r="C131" s="1">
        <v>12.99</v>
      </c>
      <c r="D131" s="1">
        <f>Tabelle1[[#This Row],[Gross Sales Price]]/1.18</f>
        <v>11.008474576271187</v>
      </c>
      <c r="E131" s="1">
        <f>Tabelle1[[#This Row],[Gross Sales Price]]*0.12</f>
        <v>1.5588</v>
      </c>
      <c r="F131" s="1">
        <v>0.4</v>
      </c>
      <c r="G131" s="1">
        <v>3</v>
      </c>
      <c r="H131" s="1">
        <v>2</v>
      </c>
      <c r="I131" s="2">
        <f>Tabelle1[[#This Row],[Base Price]]+Tabelle1[[#This Row],[Total Selling Costs
	]]+Tabelle1[[#This Row],[DHL Costs]]+Tabelle1[[#This Row],[Handling Costs]]+Tabelle1[[#This Row],[Fixed Costs]]</f>
        <v>13.838800000000001</v>
      </c>
      <c r="J131" s="1">
        <f>Tabelle1[[#This Row],[Net Sales Price]]-Tabelle1[[#This Row],[Variable Costs]]</f>
        <v>-2.830325423728814</v>
      </c>
    </row>
    <row r="132" spans="1:10" ht="14.25" customHeight="1" x14ac:dyDescent="0.25">
      <c r="A132" s="8" t="s">
        <v>140</v>
      </c>
      <c r="B132" s="1">
        <v>16.04</v>
      </c>
      <c r="C132" s="1">
        <v>3.96</v>
      </c>
      <c r="D132" s="1">
        <f>Tabelle1[[#This Row],[Gross Sales Price]]/1.18</f>
        <v>3.3559322033898304</v>
      </c>
      <c r="E132" s="1">
        <f>Tabelle1[[#This Row],[Gross Sales Price]]*0.12</f>
        <v>0.47519999999999996</v>
      </c>
      <c r="F132" s="1">
        <v>0.4</v>
      </c>
      <c r="G132" s="1">
        <v>3</v>
      </c>
      <c r="H132" s="1">
        <v>2</v>
      </c>
      <c r="I132" s="2">
        <f>Tabelle1[[#This Row],[Base Price]]+Tabelle1[[#This Row],[Total Selling Costs
	]]+Tabelle1[[#This Row],[DHL Costs]]+Tabelle1[[#This Row],[Handling Costs]]+Tabelle1[[#This Row],[Fixed Costs]]</f>
        <v>21.915199999999999</v>
      </c>
      <c r="J132" s="1">
        <f>Tabelle1[[#This Row],[Net Sales Price]]-Tabelle1[[#This Row],[Variable Costs]]</f>
        <v>-18.559267796610168</v>
      </c>
    </row>
    <row r="133" spans="1:10" ht="14.25" customHeight="1" x14ac:dyDescent="0.25">
      <c r="A133" s="8" t="s">
        <v>141</v>
      </c>
      <c r="B133" s="1">
        <v>6.53</v>
      </c>
      <c r="C133" s="1">
        <v>24.48</v>
      </c>
      <c r="D133" s="1">
        <f>Tabelle1[[#This Row],[Gross Sales Price]]/1.18</f>
        <v>20.745762711864408</v>
      </c>
      <c r="E133" s="1">
        <f>Tabelle1[[#This Row],[Gross Sales Price]]*0.12</f>
        <v>2.9375999999999998</v>
      </c>
      <c r="F133" s="1">
        <v>0.4</v>
      </c>
      <c r="G133" s="1">
        <v>3</v>
      </c>
      <c r="H133" s="1">
        <v>2</v>
      </c>
      <c r="I133" s="2">
        <f>Tabelle1[[#This Row],[Base Price]]+Tabelle1[[#This Row],[Total Selling Costs
	]]+Tabelle1[[#This Row],[DHL Costs]]+Tabelle1[[#This Row],[Handling Costs]]+Tabelle1[[#This Row],[Fixed Costs]]</f>
        <v>14.867600000000001</v>
      </c>
      <c r="J133" s="1">
        <f>Tabelle1[[#This Row],[Net Sales Price]]-Tabelle1[[#This Row],[Variable Costs]]</f>
        <v>5.8781627118644071</v>
      </c>
    </row>
    <row r="134" spans="1:10" ht="14.25" customHeight="1" x14ac:dyDescent="0.25">
      <c r="A134" s="8" t="s">
        <v>142</v>
      </c>
      <c r="B134" s="1">
        <v>16.14</v>
      </c>
      <c r="C134" s="1">
        <v>1.1000000000000001</v>
      </c>
      <c r="D134" s="1">
        <f>Tabelle1[[#This Row],[Gross Sales Price]]/1.18</f>
        <v>0.93220338983050854</v>
      </c>
      <c r="E134" s="1">
        <f>Tabelle1[[#This Row],[Gross Sales Price]]*0.12</f>
        <v>0.13200000000000001</v>
      </c>
      <c r="F134" s="1">
        <v>0.4</v>
      </c>
      <c r="G134" s="1">
        <v>3</v>
      </c>
      <c r="H134" s="1">
        <v>2</v>
      </c>
      <c r="I134" s="2">
        <f>Tabelle1[[#This Row],[Base Price]]+Tabelle1[[#This Row],[Total Selling Costs
	]]+Tabelle1[[#This Row],[DHL Costs]]+Tabelle1[[#This Row],[Handling Costs]]+Tabelle1[[#This Row],[Fixed Costs]]</f>
        <v>21.672000000000001</v>
      </c>
      <c r="J134" s="1">
        <f>Tabelle1[[#This Row],[Net Sales Price]]-Tabelle1[[#This Row],[Variable Costs]]</f>
        <v>-20.739796610169492</v>
      </c>
    </row>
    <row r="135" spans="1:10" ht="14.25" customHeight="1" x14ac:dyDescent="0.25">
      <c r="A135" s="8" t="s">
        <v>143</v>
      </c>
      <c r="B135" s="1">
        <v>10.19</v>
      </c>
      <c r="C135" s="1">
        <v>6.88</v>
      </c>
      <c r="D135" s="1">
        <f>Tabelle1[[#This Row],[Gross Sales Price]]/1.18</f>
        <v>5.8305084745762716</v>
      </c>
      <c r="E135" s="1">
        <f>Tabelle1[[#This Row],[Gross Sales Price]]*0.12</f>
        <v>0.8256</v>
      </c>
      <c r="F135" s="1">
        <v>0.4</v>
      </c>
      <c r="G135" s="1">
        <v>3</v>
      </c>
      <c r="H135" s="1">
        <v>2</v>
      </c>
      <c r="I135" s="2">
        <f>Tabelle1[[#This Row],[Base Price]]+Tabelle1[[#This Row],[Total Selling Costs
	]]+Tabelle1[[#This Row],[DHL Costs]]+Tabelle1[[#This Row],[Handling Costs]]+Tabelle1[[#This Row],[Fixed Costs]]</f>
        <v>16.415599999999998</v>
      </c>
      <c r="J135" s="1">
        <f>Tabelle1[[#This Row],[Net Sales Price]]-Tabelle1[[#This Row],[Variable Costs]]</f>
        <v>-10.585091525423726</v>
      </c>
    </row>
    <row r="136" spans="1:10" ht="14.25" customHeight="1" x14ac:dyDescent="0.25">
      <c r="A136" s="8" t="s">
        <v>144</v>
      </c>
      <c r="B136" s="1">
        <v>10.199999999999999</v>
      </c>
      <c r="C136" s="1">
        <v>27.45</v>
      </c>
      <c r="D136" s="1">
        <f>Tabelle1[[#This Row],[Gross Sales Price]]/1.18</f>
        <v>23.262711864406779</v>
      </c>
      <c r="E136" s="1">
        <f>Tabelle1[[#This Row],[Gross Sales Price]]*0.12</f>
        <v>3.2939999999999996</v>
      </c>
      <c r="F136" s="1">
        <v>0.4</v>
      </c>
      <c r="G136" s="1">
        <v>3</v>
      </c>
      <c r="H136" s="1">
        <v>2</v>
      </c>
      <c r="I136" s="2">
        <f>Tabelle1[[#This Row],[Base Price]]+Tabelle1[[#This Row],[Total Selling Costs
	]]+Tabelle1[[#This Row],[DHL Costs]]+Tabelle1[[#This Row],[Handling Costs]]+Tabelle1[[#This Row],[Fixed Costs]]</f>
        <v>18.893999999999998</v>
      </c>
      <c r="J136" s="1">
        <f>Tabelle1[[#This Row],[Net Sales Price]]-Tabelle1[[#This Row],[Variable Costs]]</f>
        <v>4.3687118644067802</v>
      </c>
    </row>
    <row r="137" spans="1:10" ht="14.25" customHeight="1" x14ac:dyDescent="0.25">
      <c r="A137" s="8" t="s">
        <v>145</v>
      </c>
      <c r="B137" s="1">
        <v>13.03</v>
      </c>
      <c r="C137" s="1">
        <v>15.19</v>
      </c>
      <c r="D137" s="1">
        <f>Tabelle1[[#This Row],[Gross Sales Price]]/1.18</f>
        <v>12.872881355932204</v>
      </c>
      <c r="E137" s="1">
        <f>Tabelle1[[#This Row],[Gross Sales Price]]*0.12</f>
        <v>1.8228</v>
      </c>
      <c r="F137" s="1">
        <v>0.4</v>
      </c>
      <c r="G137" s="1">
        <v>3</v>
      </c>
      <c r="H137" s="1">
        <v>2</v>
      </c>
      <c r="I137" s="2">
        <f>Tabelle1[[#This Row],[Base Price]]+Tabelle1[[#This Row],[Total Selling Costs
	]]+Tabelle1[[#This Row],[DHL Costs]]+Tabelle1[[#This Row],[Handling Costs]]+Tabelle1[[#This Row],[Fixed Costs]]</f>
        <v>20.252799999999997</v>
      </c>
      <c r="J137" s="1">
        <f>Tabelle1[[#This Row],[Net Sales Price]]-Tabelle1[[#This Row],[Variable Costs]]</f>
        <v>-7.3799186440677929</v>
      </c>
    </row>
    <row r="138" spans="1:10" ht="14.25" customHeight="1" x14ac:dyDescent="0.25">
      <c r="A138" s="8" t="s">
        <v>146</v>
      </c>
      <c r="B138" s="1">
        <v>11.07</v>
      </c>
      <c r="C138" s="1">
        <v>7.88</v>
      </c>
      <c r="D138" s="1">
        <f>Tabelle1[[#This Row],[Gross Sales Price]]/1.18</f>
        <v>6.6779661016949152</v>
      </c>
      <c r="E138" s="1">
        <f>Tabelle1[[#This Row],[Gross Sales Price]]*0.12</f>
        <v>0.9456</v>
      </c>
      <c r="F138" s="1">
        <v>0.4</v>
      </c>
      <c r="G138" s="1">
        <v>3</v>
      </c>
      <c r="H138" s="1">
        <v>2</v>
      </c>
      <c r="I138" s="2">
        <f>Tabelle1[[#This Row],[Base Price]]+Tabelle1[[#This Row],[Total Selling Costs
	]]+Tabelle1[[#This Row],[DHL Costs]]+Tabelle1[[#This Row],[Handling Costs]]+Tabelle1[[#This Row],[Fixed Costs]]</f>
        <v>17.415599999999998</v>
      </c>
      <c r="J138" s="1">
        <f>Tabelle1[[#This Row],[Net Sales Price]]-Tabelle1[[#This Row],[Variable Costs]]</f>
        <v>-10.737633898305083</v>
      </c>
    </row>
    <row r="139" spans="1:10" ht="14.25" customHeight="1" x14ac:dyDescent="0.25">
      <c r="A139" s="8" t="s">
        <v>147</v>
      </c>
      <c r="B139" s="1">
        <v>5.8</v>
      </c>
      <c r="C139" s="1">
        <v>10.79</v>
      </c>
      <c r="D139" s="1">
        <f>Tabelle1[[#This Row],[Gross Sales Price]]/1.18</f>
        <v>9.1440677966101696</v>
      </c>
      <c r="E139" s="1">
        <f>Tabelle1[[#This Row],[Gross Sales Price]]*0.12</f>
        <v>1.2948</v>
      </c>
      <c r="F139" s="1">
        <v>0.4</v>
      </c>
      <c r="G139" s="1">
        <v>3</v>
      </c>
      <c r="H139" s="1">
        <v>2</v>
      </c>
      <c r="I139" s="2">
        <f>Tabelle1[[#This Row],[Base Price]]+Tabelle1[[#This Row],[Total Selling Costs
	]]+Tabelle1[[#This Row],[DHL Costs]]+Tabelle1[[#This Row],[Handling Costs]]+Tabelle1[[#This Row],[Fixed Costs]]</f>
        <v>12.4948</v>
      </c>
      <c r="J139" s="1">
        <f>Tabelle1[[#This Row],[Net Sales Price]]-Tabelle1[[#This Row],[Variable Costs]]</f>
        <v>-3.3507322033898301</v>
      </c>
    </row>
    <row r="140" spans="1:10" ht="14.25" customHeight="1" x14ac:dyDescent="0.25">
      <c r="A140" s="8" t="s">
        <v>148</v>
      </c>
      <c r="B140" s="1">
        <v>3.28</v>
      </c>
      <c r="C140" s="1">
        <v>1.07</v>
      </c>
      <c r="D140" s="1">
        <f>Tabelle1[[#This Row],[Gross Sales Price]]/1.18</f>
        <v>0.90677966101694929</v>
      </c>
      <c r="E140" s="1">
        <f>Tabelle1[[#This Row],[Gross Sales Price]]*0.12</f>
        <v>0.12840000000000001</v>
      </c>
      <c r="F140" s="1">
        <v>0.4</v>
      </c>
      <c r="G140" s="1">
        <v>3</v>
      </c>
      <c r="H140" s="1">
        <v>2</v>
      </c>
      <c r="I140" s="2">
        <f>Tabelle1[[#This Row],[Base Price]]+Tabelle1[[#This Row],[Total Selling Costs
	]]+Tabelle1[[#This Row],[DHL Costs]]+Tabelle1[[#This Row],[Handling Costs]]+Tabelle1[[#This Row],[Fixed Costs]]</f>
        <v>8.8084000000000007</v>
      </c>
      <c r="J140" s="1">
        <f>Tabelle1[[#This Row],[Net Sales Price]]-Tabelle1[[#This Row],[Variable Costs]]</f>
        <v>-7.9016203389830517</v>
      </c>
    </row>
    <row r="141" spans="1:10" ht="14.25" customHeight="1" x14ac:dyDescent="0.25">
      <c r="A141" s="8" t="s">
        <v>149</v>
      </c>
      <c r="B141" s="1">
        <v>8.02</v>
      </c>
      <c r="C141" s="1">
        <v>40.39</v>
      </c>
      <c r="D141" s="1">
        <f>Tabelle1[[#This Row],[Gross Sales Price]]/1.18</f>
        <v>34.228813559322035</v>
      </c>
      <c r="E141" s="1">
        <f>Tabelle1[[#This Row],[Gross Sales Price]]*0.12</f>
        <v>4.8468</v>
      </c>
      <c r="F141" s="1">
        <v>0.4</v>
      </c>
      <c r="G141" s="1">
        <v>3</v>
      </c>
      <c r="H141" s="1">
        <v>2</v>
      </c>
      <c r="I141" s="2">
        <f>Tabelle1[[#This Row],[Base Price]]+Tabelle1[[#This Row],[Total Selling Costs
	]]+Tabelle1[[#This Row],[DHL Costs]]+Tabelle1[[#This Row],[Handling Costs]]+Tabelle1[[#This Row],[Fixed Costs]]</f>
        <v>18.266799999999996</v>
      </c>
      <c r="J141" s="1">
        <f>Tabelle1[[#This Row],[Net Sales Price]]-Tabelle1[[#This Row],[Variable Costs]]</f>
        <v>15.962013559322038</v>
      </c>
    </row>
    <row r="142" spans="1:10" ht="14.25" customHeight="1" x14ac:dyDescent="0.25">
      <c r="A142" s="8" t="s">
        <v>150</v>
      </c>
      <c r="B142" s="1">
        <v>17.23</v>
      </c>
      <c r="C142" s="1">
        <v>11.39</v>
      </c>
      <c r="D142" s="1">
        <f>Tabelle1[[#This Row],[Gross Sales Price]]/1.18</f>
        <v>9.6525423728813564</v>
      </c>
      <c r="E142" s="1">
        <f>Tabelle1[[#This Row],[Gross Sales Price]]*0.12</f>
        <v>1.3668</v>
      </c>
      <c r="F142" s="1">
        <v>0.4</v>
      </c>
      <c r="G142" s="1">
        <v>3</v>
      </c>
      <c r="H142" s="1">
        <v>2</v>
      </c>
      <c r="I142" s="2">
        <f>Tabelle1[[#This Row],[Base Price]]+Tabelle1[[#This Row],[Total Selling Costs
	]]+Tabelle1[[#This Row],[DHL Costs]]+Tabelle1[[#This Row],[Handling Costs]]+Tabelle1[[#This Row],[Fixed Costs]]</f>
        <v>23.9968</v>
      </c>
      <c r="J142" s="1">
        <f>Tabelle1[[#This Row],[Net Sales Price]]-Tabelle1[[#This Row],[Variable Costs]]</f>
        <v>-14.344257627118644</v>
      </c>
    </row>
    <row r="143" spans="1:10" ht="14.25" customHeight="1" x14ac:dyDescent="0.25">
      <c r="A143" s="8" t="s">
        <v>151</v>
      </c>
      <c r="B143" s="1">
        <v>11.08</v>
      </c>
      <c r="C143" s="1">
        <v>15.87</v>
      </c>
      <c r="D143" s="1">
        <f>Tabelle1[[#This Row],[Gross Sales Price]]/1.18</f>
        <v>13.449152542372881</v>
      </c>
      <c r="E143" s="1">
        <f>Tabelle1[[#This Row],[Gross Sales Price]]*0.12</f>
        <v>1.9043999999999999</v>
      </c>
      <c r="F143" s="1">
        <v>0.4</v>
      </c>
      <c r="G143" s="1">
        <v>3</v>
      </c>
      <c r="H143" s="1">
        <v>2</v>
      </c>
      <c r="I143" s="2">
        <f>Tabelle1[[#This Row],[Base Price]]+Tabelle1[[#This Row],[Total Selling Costs
	]]+Tabelle1[[#This Row],[DHL Costs]]+Tabelle1[[#This Row],[Handling Costs]]+Tabelle1[[#This Row],[Fixed Costs]]</f>
        <v>18.384399999999999</v>
      </c>
      <c r="J143" s="1">
        <f>Tabelle1[[#This Row],[Net Sales Price]]-Tabelle1[[#This Row],[Variable Costs]]</f>
        <v>-4.9352474576271188</v>
      </c>
    </row>
    <row r="144" spans="1:10" ht="14.25" customHeight="1" x14ac:dyDescent="0.25">
      <c r="A144" s="8" t="s">
        <v>152</v>
      </c>
      <c r="B144" s="1">
        <v>5.85</v>
      </c>
      <c r="C144" s="1">
        <v>13.12</v>
      </c>
      <c r="D144" s="1">
        <f>Tabelle1[[#This Row],[Gross Sales Price]]/1.18</f>
        <v>11.118644067796611</v>
      </c>
      <c r="E144" s="1">
        <f>Tabelle1[[#This Row],[Gross Sales Price]]*0.12</f>
        <v>1.5743999999999998</v>
      </c>
      <c r="F144" s="1">
        <v>0.4</v>
      </c>
      <c r="G144" s="1">
        <v>3</v>
      </c>
      <c r="H144" s="1">
        <v>2</v>
      </c>
      <c r="I144" s="2">
        <f>Tabelle1[[#This Row],[Base Price]]+Tabelle1[[#This Row],[Total Selling Costs
	]]+Tabelle1[[#This Row],[DHL Costs]]+Tabelle1[[#This Row],[Handling Costs]]+Tabelle1[[#This Row],[Fixed Costs]]</f>
        <v>12.824399999999999</v>
      </c>
      <c r="J144" s="1">
        <f>Tabelle1[[#This Row],[Net Sales Price]]-Tabelle1[[#This Row],[Variable Costs]]</f>
        <v>-1.7057559322033882</v>
      </c>
    </row>
    <row r="145" spans="1:10" ht="14.25" customHeight="1" x14ac:dyDescent="0.25">
      <c r="A145" s="8" t="s">
        <v>153</v>
      </c>
      <c r="B145" s="1">
        <v>9.6999999999999993</v>
      </c>
      <c r="C145" s="1">
        <v>36.880000000000003</v>
      </c>
      <c r="D145" s="1">
        <f>Tabelle1[[#This Row],[Gross Sales Price]]/1.18</f>
        <v>31.254237288135599</v>
      </c>
      <c r="E145" s="1">
        <f>Tabelle1[[#This Row],[Gross Sales Price]]*0.12</f>
        <v>4.4256000000000002</v>
      </c>
      <c r="F145" s="1">
        <v>0.4</v>
      </c>
      <c r="G145" s="1">
        <v>3</v>
      </c>
      <c r="H145" s="1">
        <v>2</v>
      </c>
      <c r="I145" s="2">
        <f>Tabelle1[[#This Row],[Base Price]]+Tabelle1[[#This Row],[Total Selling Costs
	]]+Tabelle1[[#This Row],[DHL Costs]]+Tabelle1[[#This Row],[Handling Costs]]+Tabelle1[[#This Row],[Fixed Costs]]</f>
        <v>19.525599999999997</v>
      </c>
      <c r="J145" s="1">
        <f>Tabelle1[[#This Row],[Net Sales Price]]-Tabelle1[[#This Row],[Variable Costs]]</f>
        <v>11.728637288135602</v>
      </c>
    </row>
    <row r="146" spans="1:10" ht="14.25" customHeight="1" x14ac:dyDescent="0.25">
      <c r="A146" s="8" t="s">
        <v>154</v>
      </c>
      <c r="B146" s="1">
        <v>1.77</v>
      </c>
      <c r="C146" s="1">
        <v>40.93</v>
      </c>
      <c r="D146" s="1">
        <f>Tabelle1[[#This Row],[Gross Sales Price]]/1.18</f>
        <v>34.686440677966104</v>
      </c>
      <c r="E146" s="1">
        <f>Tabelle1[[#This Row],[Gross Sales Price]]*0.12</f>
        <v>4.9116</v>
      </c>
      <c r="F146" s="1">
        <v>0.4</v>
      </c>
      <c r="G146" s="1">
        <v>3</v>
      </c>
      <c r="H146" s="1">
        <v>2</v>
      </c>
      <c r="I146" s="2">
        <f>Tabelle1[[#This Row],[Base Price]]+Tabelle1[[#This Row],[Total Selling Costs
	]]+Tabelle1[[#This Row],[DHL Costs]]+Tabelle1[[#This Row],[Handling Costs]]+Tabelle1[[#This Row],[Fixed Costs]]</f>
        <v>12.0816</v>
      </c>
      <c r="J146" s="1">
        <f>Tabelle1[[#This Row],[Net Sales Price]]-Tabelle1[[#This Row],[Variable Costs]]</f>
        <v>22.604840677966102</v>
      </c>
    </row>
    <row r="147" spans="1:10" ht="14.25" customHeight="1" x14ac:dyDescent="0.25">
      <c r="A147" s="8" t="s">
        <v>155</v>
      </c>
      <c r="B147" s="1">
        <v>2.2200000000000002</v>
      </c>
      <c r="C147" s="1">
        <v>31.73</v>
      </c>
      <c r="D147" s="1">
        <f>Tabelle1[[#This Row],[Gross Sales Price]]/1.18</f>
        <v>26.889830508474578</v>
      </c>
      <c r="E147" s="1">
        <f>Tabelle1[[#This Row],[Gross Sales Price]]*0.12</f>
        <v>3.8075999999999999</v>
      </c>
      <c r="F147" s="1">
        <v>0.4</v>
      </c>
      <c r="G147" s="1">
        <v>3</v>
      </c>
      <c r="H147" s="1">
        <v>2</v>
      </c>
      <c r="I147" s="2">
        <f>Tabelle1[[#This Row],[Base Price]]+Tabelle1[[#This Row],[Total Selling Costs
	]]+Tabelle1[[#This Row],[DHL Costs]]+Tabelle1[[#This Row],[Handling Costs]]+Tabelle1[[#This Row],[Fixed Costs]]</f>
        <v>11.4276</v>
      </c>
      <c r="J147" s="1">
        <f>Tabelle1[[#This Row],[Net Sales Price]]-Tabelle1[[#This Row],[Variable Costs]]</f>
        <v>15.462230508474578</v>
      </c>
    </row>
    <row r="148" spans="1:10" ht="14.25" customHeight="1" x14ac:dyDescent="0.25">
      <c r="A148" s="8" t="s">
        <v>156</v>
      </c>
      <c r="B148" s="1">
        <v>8.39</v>
      </c>
      <c r="C148" s="1">
        <v>27.51</v>
      </c>
      <c r="D148" s="1">
        <f>Tabelle1[[#This Row],[Gross Sales Price]]/1.18</f>
        <v>23.3135593220339</v>
      </c>
      <c r="E148" s="1">
        <f>Tabelle1[[#This Row],[Gross Sales Price]]*0.12</f>
        <v>3.3012000000000001</v>
      </c>
      <c r="F148" s="1">
        <v>0.4</v>
      </c>
      <c r="G148" s="1">
        <v>3</v>
      </c>
      <c r="H148" s="1">
        <v>2</v>
      </c>
      <c r="I148" s="2">
        <f>Tabelle1[[#This Row],[Base Price]]+Tabelle1[[#This Row],[Total Selling Costs
	]]+Tabelle1[[#This Row],[DHL Costs]]+Tabelle1[[#This Row],[Handling Costs]]+Tabelle1[[#This Row],[Fixed Costs]]</f>
        <v>17.091200000000001</v>
      </c>
      <c r="J148" s="1">
        <f>Tabelle1[[#This Row],[Net Sales Price]]-Tabelle1[[#This Row],[Variable Costs]]</f>
        <v>6.2223593220338991</v>
      </c>
    </row>
    <row r="149" spans="1:10" ht="14.25" customHeight="1" x14ac:dyDescent="0.25">
      <c r="A149" s="8" t="s">
        <v>157</v>
      </c>
      <c r="B149" s="1">
        <v>6.08</v>
      </c>
      <c r="C149" s="1">
        <v>16.23</v>
      </c>
      <c r="D149" s="1">
        <f>Tabelle1[[#This Row],[Gross Sales Price]]/1.18</f>
        <v>13.754237288135593</v>
      </c>
      <c r="E149" s="1">
        <f>Tabelle1[[#This Row],[Gross Sales Price]]*0.12</f>
        <v>1.9476</v>
      </c>
      <c r="F149" s="1">
        <v>0.4</v>
      </c>
      <c r="G149" s="1">
        <v>3</v>
      </c>
      <c r="H149" s="1">
        <v>2</v>
      </c>
      <c r="I149" s="2">
        <f>Tabelle1[[#This Row],[Base Price]]+Tabelle1[[#This Row],[Total Selling Costs
	]]+Tabelle1[[#This Row],[DHL Costs]]+Tabelle1[[#This Row],[Handling Costs]]+Tabelle1[[#This Row],[Fixed Costs]]</f>
        <v>13.4276</v>
      </c>
      <c r="J149" s="1">
        <f>Tabelle1[[#This Row],[Net Sales Price]]-Tabelle1[[#This Row],[Variable Costs]]</f>
        <v>0.32663728813559345</v>
      </c>
    </row>
    <row r="150" spans="1:10" ht="14.25" customHeight="1" x14ac:dyDescent="0.25">
      <c r="A150" s="8" t="s">
        <v>158</v>
      </c>
      <c r="B150" s="1">
        <v>5.05</v>
      </c>
      <c r="C150" s="1">
        <v>7.85</v>
      </c>
      <c r="D150" s="1">
        <f>Tabelle1[[#This Row],[Gross Sales Price]]/1.18</f>
        <v>6.6525423728813564</v>
      </c>
      <c r="E150" s="1">
        <f>Tabelle1[[#This Row],[Gross Sales Price]]*0.12</f>
        <v>0.94199999999999995</v>
      </c>
      <c r="F150" s="1">
        <v>0.4</v>
      </c>
      <c r="G150" s="1">
        <v>3</v>
      </c>
      <c r="H150" s="1">
        <v>2</v>
      </c>
      <c r="I150" s="2">
        <f>Tabelle1[[#This Row],[Base Price]]+Tabelle1[[#This Row],[Total Selling Costs
	]]+Tabelle1[[#This Row],[DHL Costs]]+Tabelle1[[#This Row],[Handling Costs]]+Tabelle1[[#This Row],[Fixed Costs]]</f>
        <v>11.392000000000001</v>
      </c>
      <c r="J150" s="1">
        <f>Tabelle1[[#This Row],[Net Sales Price]]-Tabelle1[[#This Row],[Variable Costs]]</f>
        <v>-4.7394576271186448</v>
      </c>
    </row>
    <row r="151" spans="1:10" ht="14.25" customHeight="1" x14ac:dyDescent="0.25">
      <c r="A151" s="8" t="s">
        <v>159</v>
      </c>
      <c r="B151" s="1">
        <v>18.010000000000002</v>
      </c>
      <c r="C151" s="1">
        <v>9.23</v>
      </c>
      <c r="D151" s="1">
        <f>Tabelle1[[#This Row],[Gross Sales Price]]/1.18</f>
        <v>7.8220338983050857</v>
      </c>
      <c r="E151" s="1">
        <f>Tabelle1[[#This Row],[Gross Sales Price]]*0.12</f>
        <v>1.1075999999999999</v>
      </c>
      <c r="F151" s="1">
        <v>0.4</v>
      </c>
      <c r="G151" s="1">
        <v>3</v>
      </c>
      <c r="H151" s="1">
        <v>2</v>
      </c>
      <c r="I151" s="2">
        <f>Tabelle1[[#This Row],[Base Price]]+Tabelle1[[#This Row],[Total Selling Costs
	]]+Tabelle1[[#This Row],[DHL Costs]]+Tabelle1[[#This Row],[Handling Costs]]+Tabelle1[[#This Row],[Fixed Costs]]</f>
        <v>24.517600000000002</v>
      </c>
      <c r="J151" s="1">
        <f>Tabelle1[[#This Row],[Net Sales Price]]-Tabelle1[[#This Row],[Variable Costs]]</f>
        <v>-16.695566101694915</v>
      </c>
    </row>
    <row r="152" spans="1:10" ht="14.25" customHeight="1" x14ac:dyDescent="0.25">
      <c r="A152" s="8" t="s">
        <v>160</v>
      </c>
      <c r="B152" s="1">
        <v>15.83</v>
      </c>
      <c r="C152" s="1">
        <v>23.12</v>
      </c>
      <c r="D152" s="1">
        <f>Tabelle1[[#This Row],[Gross Sales Price]]/1.18</f>
        <v>19.593220338983052</v>
      </c>
      <c r="E152" s="1">
        <f>Tabelle1[[#This Row],[Gross Sales Price]]*0.12</f>
        <v>2.7744</v>
      </c>
      <c r="F152" s="1">
        <v>0.4</v>
      </c>
      <c r="G152" s="1">
        <v>3</v>
      </c>
      <c r="H152" s="1">
        <v>2</v>
      </c>
      <c r="I152" s="2">
        <f>Tabelle1[[#This Row],[Base Price]]+Tabelle1[[#This Row],[Total Selling Costs
	]]+Tabelle1[[#This Row],[DHL Costs]]+Tabelle1[[#This Row],[Handling Costs]]+Tabelle1[[#This Row],[Fixed Costs]]</f>
        <v>24.004399999999997</v>
      </c>
      <c r="J152" s="1">
        <f>Tabelle1[[#This Row],[Net Sales Price]]-Tabelle1[[#This Row],[Variable Costs]]</f>
        <v>-4.4111796610169449</v>
      </c>
    </row>
    <row r="153" spans="1:10" ht="14.25" customHeight="1" x14ac:dyDescent="0.25">
      <c r="A153" s="8" t="s">
        <v>161</v>
      </c>
      <c r="B153" s="1">
        <v>9.0399999999999991</v>
      </c>
      <c r="C153" s="1">
        <v>16.39</v>
      </c>
      <c r="D153" s="1">
        <f>Tabelle1[[#This Row],[Gross Sales Price]]/1.18</f>
        <v>13.889830508474578</v>
      </c>
      <c r="E153" s="1">
        <f>Tabelle1[[#This Row],[Gross Sales Price]]*0.12</f>
        <v>1.9668000000000001</v>
      </c>
      <c r="F153" s="1">
        <v>0.4</v>
      </c>
      <c r="G153" s="1">
        <v>3</v>
      </c>
      <c r="H153" s="1">
        <v>2</v>
      </c>
      <c r="I153" s="2">
        <f>Tabelle1[[#This Row],[Base Price]]+Tabelle1[[#This Row],[Total Selling Costs
	]]+Tabelle1[[#This Row],[DHL Costs]]+Tabelle1[[#This Row],[Handling Costs]]+Tabelle1[[#This Row],[Fixed Costs]]</f>
        <v>16.406799999999997</v>
      </c>
      <c r="J153" s="1">
        <f>Tabelle1[[#This Row],[Net Sales Price]]-Tabelle1[[#This Row],[Variable Costs]]</f>
        <v>-2.516969491525419</v>
      </c>
    </row>
    <row r="154" spans="1:10" ht="14.25" customHeight="1" x14ac:dyDescent="0.25">
      <c r="A154" s="8" t="s">
        <v>162</v>
      </c>
      <c r="B154" s="1">
        <v>16.21</v>
      </c>
      <c r="C154" s="1">
        <v>9.85</v>
      </c>
      <c r="D154" s="1">
        <f>Tabelle1[[#This Row],[Gross Sales Price]]/1.18</f>
        <v>8.3474576271186436</v>
      </c>
      <c r="E154" s="1">
        <f>Tabelle1[[#This Row],[Gross Sales Price]]*0.12</f>
        <v>1.1819999999999999</v>
      </c>
      <c r="F154" s="1">
        <v>0.4</v>
      </c>
      <c r="G154" s="1">
        <v>3</v>
      </c>
      <c r="H154" s="1">
        <v>2</v>
      </c>
      <c r="I154" s="2">
        <f>Tabelle1[[#This Row],[Base Price]]+Tabelle1[[#This Row],[Total Selling Costs
	]]+Tabelle1[[#This Row],[DHL Costs]]+Tabelle1[[#This Row],[Handling Costs]]+Tabelle1[[#This Row],[Fixed Costs]]</f>
        <v>22.791999999999998</v>
      </c>
      <c r="J154" s="1">
        <f>Tabelle1[[#This Row],[Net Sales Price]]-Tabelle1[[#This Row],[Variable Costs]]</f>
        <v>-14.444542372881354</v>
      </c>
    </row>
    <row r="155" spans="1:10" ht="14.25" customHeight="1" x14ac:dyDescent="0.25">
      <c r="A155" s="8" t="s">
        <v>163</v>
      </c>
      <c r="B155" s="1">
        <v>4.21</v>
      </c>
      <c r="C155" s="1">
        <v>36.72</v>
      </c>
      <c r="D155" s="1">
        <f>Tabelle1[[#This Row],[Gross Sales Price]]/1.18</f>
        <v>31.118644067796613</v>
      </c>
      <c r="E155" s="1">
        <f>Tabelle1[[#This Row],[Gross Sales Price]]*0.12</f>
        <v>4.4063999999999997</v>
      </c>
      <c r="F155" s="1">
        <v>0.4</v>
      </c>
      <c r="G155" s="1">
        <v>3</v>
      </c>
      <c r="H155" s="1">
        <v>2</v>
      </c>
      <c r="I155" s="2">
        <f>Tabelle1[[#This Row],[Base Price]]+Tabelle1[[#This Row],[Total Selling Costs
	]]+Tabelle1[[#This Row],[DHL Costs]]+Tabelle1[[#This Row],[Handling Costs]]+Tabelle1[[#This Row],[Fixed Costs]]</f>
        <v>14.016399999999999</v>
      </c>
      <c r="J155" s="1">
        <f>Tabelle1[[#This Row],[Net Sales Price]]-Tabelle1[[#This Row],[Variable Costs]]</f>
        <v>17.102244067796612</v>
      </c>
    </row>
    <row r="156" spans="1:10" ht="14.25" customHeight="1" x14ac:dyDescent="0.25">
      <c r="A156" s="8" t="s">
        <v>164</v>
      </c>
      <c r="B156" s="1">
        <v>1.38</v>
      </c>
      <c r="C156" s="1">
        <v>34.44</v>
      </c>
      <c r="D156" s="1">
        <f>Tabelle1[[#This Row],[Gross Sales Price]]/1.18</f>
        <v>29.1864406779661</v>
      </c>
      <c r="E156" s="1">
        <f>Tabelle1[[#This Row],[Gross Sales Price]]*0.12</f>
        <v>4.1327999999999996</v>
      </c>
      <c r="F156" s="1">
        <v>0.4</v>
      </c>
      <c r="G156" s="1">
        <v>3</v>
      </c>
      <c r="H156" s="1">
        <v>2</v>
      </c>
      <c r="I156" s="2">
        <f>Tabelle1[[#This Row],[Base Price]]+Tabelle1[[#This Row],[Total Selling Costs
	]]+Tabelle1[[#This Row],[DHL Costs]]+Tabelle1[[#This Row],[Handling Costs]]+Tabelle1[[#This Row],[Fixed Costs]]</f>
        <v>10.912799999999999</v>
      </c>
      <c r="J156" s="1">
        <f>Tabelle1[[#This Row],[Net Sales Price]]-Tabelle1[[#This Row],[Variable Costs]]</f>
        <v>18.2736406779661</v>
      </c>
    </row>
    <row r="157" spans="1:10" ht="14.25" customHeight="1" x14ac:dyDescent="0.25">
      <c r="A157" s="8" t="s">
        <v>165</v>
      </c>
      <c r="B157" s="1">
        <v>17.68</v>
      </c>
      <c r="C157" s="1">
        <v>10.43</v>
      </c>
      <c r="D157" s="1">
        <f>Tabelle1[[#This Row],[Gross Sales Price]]/1.18</f>
        <v>8.8389830508474585</v>
      </c>
      <c r="E157" s="1">
        <f>Tabelle1[[#This Row],[Gross Sales Price]]*0.12</f>
        <v>1.2515999999999998</v>
      </c>
      <c r="F157" s="1">
        <v>0.4</v>
      </c>
      <c r="G157" s="1">
        <v>3</v>
      </c>
      <c r="H157" s="1">
        <v>2</v>
      </c>
      <c r="I157" s="2">
        <f>Tabelle1[[#This Row],[Base Price]]+Tabelle1[[#This Row],[Total Selling Costs
	]]+Tabelle1[[#This Row],[DHL Costs]]+Tabelle1[[#This Row],[Handling Costs]]+Tabelle1[[#This Row],[Fixed Costs]]</f>
        <v>24.331599999999998</v>
      </c>
      <c r="J157" s="1">
        <f>Tabelle1[[#This Row],[Net Sales Price]]-Tabelle1[[#This Row],[Variable Costs]]</f>
        <v>-15.49261694915254</v>
      </c>
    </row>
    <row r="158" spans="1:10" ht="14.25" customHeight="1" x14ac:dyDescent="0.25">
      <c r="A158" s="8" t="s">
        <v>166</v>
      </c>
      <c r="B158" s="1">
        <v>18.82</v>
      </c>
      <c r="C158" s="1">
        <v>16.25</v>
      </c>
      <c r="D158" s="1">
        <f>Tabelle1[[#This Row],[Gross Sales Price]]/1.18</f>
        <v>13.771186440677967</v>
      </c>
      <c r="E158" s="1">
        <f>Tabelle1[[#This Row],[Gross Sales Price]]*0.12</f>
        <v>1.95</v>
      </c>
      <c r="F158" s="1">
        <v>0.4</v>
      </c>
      <c r="G158" s="1">
        <v>3</v>
      </c>
      <c r="H158" s="1">
        <v>2</v>
      </c>
      <c r="I158" s="2">
        <f>Tabelle1[[#This Row],[Base Price]]+Tabelle1[[#This Row],[Total Selling Costs
	]]+Tabelle1[[#This Row],[DHL Costs]]+Tabelle1[[#This Row],[Handling Costs]]+Tabelle1[[#This Row],[Fixed Costs]]</f>
        <v>26.169999999999998</v>
      </c>
      <c r="J158" s="1">
        <f>Tabelle1[[#This Row],[Net Sales Price]]-Tabelle1[[#This Row],[Variable Costs]]</f>
        <v>-12.398813559322031</v>
      </c>
    </row>
    <row r="159" spans="1:10" ht="14.25" customHeight="1" x14ac:dyDescent="0.25">
      <c r="A159" s="8" t="s">
        <v>167</v>
      </c>
      <c r="B159" s="1">
        <v>14.23</v>
      </c>
      <c r="C159" s="1">
        <v>2.83</v>
      </c>
      <c r="D159" s="1">
        <f>Tabelle1[[#This Row],[Gross Sales Price]]/1.18</f>
        <v>2.398305084745763</v>
      </c>
      <c r="E159" s="1">
        <f>Tabelle1[[#This Row],[Gross Sales Price]]*0.12</f>
        <v>0.33960000000000001</v>
      </c>
      <c r="F159" s="1">
        <v>0.4</v>
      </c>
      <c r="G159" s="1">
        <v>3</v>
      </c>
      <c r="H159" s="1">
        <v>2</v>
      </c>
      <c r="I159" s="2">
        <f>Tabelle1[[#This Row],[Base Price]]+Tabelle1[[#This Row],[Total Selling Costs
	]]+Tabelle1[[#This Row],[DHL Costs]]+Tabelle1[[#This Row],[Handling Costs]]+Tabelle1[[#This Row],[Fixed Costs]]</f>
        <v>19.9696</v>
      </c>
      <c r="J159" s="1">
        <f>Tabelle1[[#This Row],[Net Sales Price]]-Tabelle1[[#This Row],[Variable Costs]]</f>
        <v>-17.571294915254235</v>
      </c>
    </row>
    <row r="160" spans="1:10" ht="14.25" customHeight="1" x14ac:dyDescent="0.25">
      <c r="A160" s="8" t="s">
        <v>168</v>
      </c>
      <c r="B160" s="1">
        <v>6.14</v>
      </c>
      <c r="C160" s="1">
        <v>28.51</v>
      </c>
      <c r="D160" s="1">
        <f>Tabelle1[[#This Row],[Gross Sales Price]]/1.18</f>
        <v>24.161016949152543</v>
      </c>
      <c r="E160" s="1">
        <f>Tabelle1[[#This Row],[Gross Sales Price]]*0.12</f>
        <v>3.4212000000000002</v>
      </c>
      <c r="F160" s="1">
        <v>0.4</v>
      </c>
      <c r="G160" s="1">
        <v>3</v>
      </c>
      <c r="H160" s="1">
        <v>2</v>
      </c>
      <c r="I160" s="2">
        <f>Tabelle1[[#This Row],[Base Price]]+Tabelle1[[#This Row],[Total Selling Costs
	]]+Tabelle1[[#This Row],[DHL Costs]]+Tabelle1[[#This Row],[Handling Costs]]+Tabelle1[[#This Row],[Fixed Costs]]</f>
        <v>14.9612</v>
      </c>
      <c r="J160" s="1">
        <f>Tabelle1[[#This Row],[Net Sales Price]]-Tabelle1[[#This Row],[Variable Costs]]</f>
        <v>9.1998169491525434</v>
      </c>
    </row>
    <row r="161" spans="1:10" ht="14.25" customHeight="1" x14ac:dyDescent="0.25">
      <c r="A161" s="8" t="s">
        <v>169</v>
      </c>
      <c r="B161" s="1">
        <v>12.26</v>
      </c>
      <c r="C161" s="1">
        <v>5.96</v>
      </c>
      <c r="D161" s="1">
        <f>Tabelle1[[#This Row],[Gross Sales Price]]/1.18</f>
        <v>5.0508474576271185</v>
      </c>
      <c r="E161" s="1">
        <f>Tabelle1[[#This Row],[Gross Sales Price]]*0.12</f>
        <v>0.71519999999999995</v>
      </c>
      <c r="F161" s="1">
        <v>0.4</v>
      </c>
      <c r="G161" s="1">
        <v>3</v>
      </c>
      <c r="H161" s="1">
        <v>2</v>
      </c>
      <c r="I161" s="2">
        <f>Tabelle1[[#This Row],[Base Price]]+Tabelle1[[#This Row],[Total Selling Costs
	]]+Tabelle1[[#This Row],[DHL Costs]]+Tabelle1[[#This Row],[Handling Costs]]+Tabelle1[[#This Row],[Fixed Costs]]</f>
        <v>18.3752</v>
      </c>
      <c r="J161" s="1">
        <f>Tabelle1[[#This Row],[Net Sales Price]]-Tabelle1[[#This Row],[Variable Costs]]</f>
        <v>-13.324352542372882</v>
      </c>
    </row>
    <row r="162" spans="1:10" ht="14.25" customHeight="1" x14ac:dyDescent="0.25">
      <c r="A162" s="8" t="s">
        <v>170</v>
      </c>
      <c r="B162" s="1">
        <v>9.68</v>
      </c>
      <c r="C162" s="1">
        <v>20.62</v>
      </c>
      <c r="D162" s="1">
        <f>Tabelle1[[#This Row],[Gross Sales Price]]/1.18</f>
        <v>17.474576271186443</v>
      </c>
      <c r="E162" s="1">
        <f>Tabelle1[[#This Row],[Gross Sales Price]]*0.12</f>
        <v>2.4744000000000002</v>
      </c>
      <c r="F162" s="1">
        <v>0.4</v>
      </c>
      <c r="G162" s="1">
        <v>3</v>
      </c>
      <c r="H162" s="1">
        <v>2</v>
      </c>
      <c r="I162" s="2">
        <f>Tabelle1[[#This Row],[Base Price]]+Tabelle1[[#This Row],[Total Selling Costs
	]]+Tabelle1[[#This Row],[DHL Costs]]+Tabelle1[[#This Row],[Handling Costs]]+Tabelle1[[#This Row],[Fixed Costs]]</f>
        <v>17.554399999999998</v>
      </c>
      <c r="J162" s="1">
        <f>Tabelle1[[#This Row],[Net Sales Price]]-Tabelle1[[#This Row],[Variable Costs]]</f>
        <v>-7.9823728813554595E-2</v>
      </c>
    </row>
    <row r="163" spans="1:10" ht="14.25" customHeight="1" x14ac:dyDescent="0.25">
      <c r="A163" s="8" t="s">
        <v>171</v>
      </c>
      <c r="B163" s="1">
        <v>7.92</v>
      </c>
      <c r="C163" s="1">
        <v>28.17</v>
      </c>
      <c r="D163" s="1">
        <f>Tabelle1[[#This Row],[Gross Sales Price]]/1.18</f>
        <v>23.872881355932208</v>
      </c>
      <c r="E163" s="1">
        <f>Tabelle1[[#This Row],[Gross Sales Price]]*0.12</f>
        <v>3.3804000000000003</v>
      </c>
      <c r="F163" s="1">
        <v>0.4</v>
      </c>
      <c r="G163" s="1">
        <v>3</v>
      </c>
      <c r="H163" s="1">
        <v>2</v>
      </c>
      <c r="I163" s="2">
        <f>Tabelle1[[#This Row],[Base Price]]+Tabelle1[[#This Row],[Total Selling Costs
	]]+Tabelle1[[#This Row],[DHL Costs]]+Tabelle1[[#This Row],[Handling Costs]]+Tabelle1[[#This Row],[Fixed Costs]]</f>
        <v>16.700399999999998</v>
      </c>
      <c r="J163" s="1">
        <f>Tabelle1[[#This Row],[Net Sales Price]]-Tabelle1[[#This Row],[Variable Costs]]</f>
        <v>7.1724813559322094</v>
      </c>
    </row>
    <row r="164" spans="1:10" ht="14.25" customHeight="1" x14ac:dyDescent="0.25">
      <c r="A164" s="8" t="s">
        <v>172</v>
      </c>
      <c r="B164" s="1">
        <v>13.29</v>
      </c>
      <c r="C164" s="1">
        <v>6.65</v>
      </c>
      <c r="D164" s="1">
        <f>Tabelle1[[#This Row],[Gross Sales Price]]/1.18</f>
        <v>5.6355932203389836</v>
      </c>
      <c r="E164" s="1">
        <f>Tabelle1[[#This Row],[Gross Sales Price]]*0.12</f>
        <v>0.79800000000000004</v>
      </c>
      <c r="F164" s="1">
        <v>0.4</v>
      </c>
      <c r="G164" s="1">
        <v>3</v>
      </c>
      <c r="H164" s="1">
        <v>2</v>
      </c>
      <c r="I164" s="2">
        <f>Tabelle1[[#This Row],[Base Price]]+Tabelle1[[#This Row],[Total Selling Costs
	]]+Tabelle1[[#This Row],[DHL Costs]]+Tabelle1[[#This Row],[Handling Costs]]+Tabelle1[[#This Row],[Fixed Costs]]</f>
        <v>19.488</v>
      </c>
      <c r="J164" s="1">
        <f>Tabelle1[[#This Row],[Net Sales Price]]-Tabelle1[[#This Row],[Variable Costs]]</f>
        <v>-13.852406779661017</v>
      </c>
    </row>
    <row r="165" spans="1:10" ht="14.25" customHeight="1" x14ac:dyDescent="0.25">
      <c r="A165" s="8" t="s">
        <v>173</v>
      </c>
      <c r="B165" s="1">
        <v>9.06</v>
      </c>
      <c r="C165" s="1">
        <v>26.99</v>
      </c>
      <c r="D165" s="1">
        <f>Tabelle1[[#This Row],[Gross Sales Price]]/1.18</f>
        <v>22.872881355932204</v>
      </c>
      <c r="E165" s="1">
        <f>Tabelle1[[#This Row],[Gross Sales Price]]*0.12</f>
        <v>3.2387999999999999</v>
      </c>
      <c r="F165" s="1">
        <v>0.4</v>
      </c>
      <c r="G165" s="1">
        <v>3</v>
      </c>
      <c r="H165" s="1">
        <v>2</v>
      </c>
      <c r="I165" s="2">
        <f>Tabelle1[[#This Row],[Base Price]]+Tabelle1[[#This Row],[Total Selling Costs
	]]+Tabelle1[[#This Row],[DHL Costs]]+Tabelle1[[#This Row],[Handling Costs]]+Tabelle1[[#This Row],[Fixed Costs]]</f>
        <v>17.698799999999999</v>
      </c>
      <c r="J165" s="1">
        <f>Tabelle1[[#This Row],[Net Sales Price]]-Tabelle1[[#This Row],[Variable Costs]]</f>
        <v>5.1740813559322056</v>
      </c>
    </row>
    <row r="166" spans="1:10" ht="14.25" customHeight="1" x14ac:dyDescent="0.25">
      <c r="A166" s="8" t="s">
        <v>174</v>
      </c>
      <c r="B166" s="1">
        <v>9.23</v>
      </c>
      <c r="C166" s="1">
        <v>2.92</v>
      </c>
      <c r="D166" s="1">
        <f>Tabelle1[[#This Row],[Gross Sales Price]]/1.18</f>
        <v>2.4745762711864407</v>
      </c>
      <c r="E166" s="1">
        <f>Tabelle1[[#This Row],[Gross Sales Price]]*0.12</f>
        <v>0.35039999999999999</v>
      </c>
      <c r="F166" s="1">
        <v>0.4</v>
      </c>
      <c r="G166" s="1">
        <v>3</v>
      </c>
      <c r="H166" s="1">
        <v>2</v>
      </c>
      <c r="I166" s="2">
        <f>Tabelle1[[#This Row],[Base Price]]+Tabelle1[[#This Row],[Total Selling Costs
	]]+Tabelle1[[#This Row],[DHL Costs]]+Tabelle1[[#This Row],[Handling Costs]]+Tabelle1[[#This Row],[Fixed Costs]]</f>
        <v>14.980400000000001</v>
      </c>
      <c r="J166" s="1">
        <f>Tabelle1[[#This Row],[Net Sales Price]]-Tabelle1[[#This Row],[Variable Costs]]</f>
        <v>-12.50582372881356</v>
      </c>
    </row>
    <row r="167" spans="1:10" ht="14.25" customHeight="1" x14ac:dyDescent="0.25">
      <c r="A167" s="8" t="s">
        <v>175</v>
      </c>
      <c r="B167" s="1">
        <v>7.91</v>
      </c>
      <c r="C167" s="1">
        <v>22.1</v>
      </c>
      <c r="D167" s="1">
        <f>Tabelle1[[#This Row],[Gross Sales Price]]/1.18</f>
        <v>18.728813559322035</v>
      </c>
      <c r="E167" s="1">
        <f>Tabelle1[[#This Row],[Gross Sales Price]]*0.12</f>
        <v>2.6520000000000001</v>
      </c>
      <c r="F167" s="1">
        <v>0.4</v>
      </c>
      <c r="G167" s="1">
        <v>3</v>
      </c>
      <c r="H167" s="1">
        <v>2</v>
      </c>
      <c r="I167" s="2">
        <f>Tabelle1[[#This Row],[Base Price]]+Tabelle1[[#This Row],[Total Selling Costs
	]]+Tabelle1[[#This Row],[DHL Costs]]+Tabelle1[[#This Row],[Handling Costs]]+Tabelle1[[#This Row],[Fixed Costs]]</f>
        <v>15.962000000000002</v>
      </c>
      <c r="J167" s="1">
        <f>Tabelle1[[#This Row],[Net Sales Price]]-Tabelle1[[#This Row],[Variable Costs]]</f>
        <v>2.7668135593220331</v>
      </c>
    </row>
    <row r="168" spans="1:10" ht="14.25" customHeight="1" x14ac:dyDescent="0.25">
      <c r="A168" s="8" t="s">
        <v>176</v>
      </c>
      <c r="B168" s="1">
        <v>7.86</v>
      </c>
      <c r="C168" s="1">
        <v>29.48</v>
      </c>
      <c r="D168" s="1">
        <f>Tabelle1[[#This Row],[Gross Sales Price]]/1.18</f>
        <v>24.98305084745763</v>
      </c>
      <c r="E168" s="1">
        <f>Tabelle1[[#This Row],[Gross Sales Price]]*0.12</f>
        <v>3.5375999999999999</v>
      </c>
      <c r="F168" s="1">
        <v>0.4</v>
      </c>
      <c r="G168" s="1">
        <v>3</v>
      </c>
      <c r="H168" s="1">
        <v>2</v>
      </c>
      <c r="I168" s="2">
        <f>Tabelle1[[#This Row],[Base Price]]+Tabelle1[[#This Row],[Total Selling Costs
	]]+Tabelle1[[#This Row],[DHL Costs]]+Tabelle1[[#This Row],[Handling Costs]]+Tabelle1[[#This Row],[Fixed Costs]]</f>
        <v>16.797599999999999</v>
      </c>
      <c r="J168" s="1">
        <f>Tabelle1[[#This Row],[Net Sales Price]]-Tabelle1[[#This Row],[Variable Costs]]</f>
        <v>8.1854508474576306</v>
      </c>
    </row>
    <row r="169" spans="1:10" ht="14.25" customHeight="1" x14ac:dyDescent="0.25">
      <c r="A169" s="8" t="s">
        <v>177</v>
      </c>
      <c r="B169" s="1">
        <v>6.18</v>
      </c>
      <c r="C169" s="1">
        <v>33.229999999999997</v>
      </c>
      <c r="D169" s="1">
        <f>Tabelle1[[#This Row],[Gross Sales Price]]/1.18</f>
        <v>28.16101694915254</v>
      </c>
      <c r="E169" s="1">
        <f>Tabelle1[[#This Row],[Gross Sales Price]]*0.12</f>
        <v>3.9875999999999996</v>
      </c>
      <c r="F169" s="1">
        <v>0.4</v>
      </c>
      <c r="G169" s="1">
        <v>3</v>
      </c>
      <c r="H169" s="1">
        <v>2</v>
      </c>
      <c r="I169" s="2">
        <f>Tabelle1[[#This Row],[Base Price]]+Tabelle1[[#This Row],[Total Selling Costs
	]]+Tabelle1[[#This Row],[DHL Costs]]+Tabelle1[[#This Row],[Handling Costs]]+Tabelle1[[#This Row],[Fixed Costs]]</f>
        <v>15.567600000000001</v>
      </c>
      <c r="J169" s="1">
        <f>Tabelle1[[#This Row],[Net Sales Price]]-Tabelle1[[#This Row],[Variable Costs]]</f>
        <v>12.593416949152539</v>
      </c>
    </row>
    <row r="170" spans="1:10" ht="14.25" customHeight="1" x14ac:dyDescent="0.25">
      <c r="A170" s="8" t="s">
        <v>178</v>
      </c>
      <c r="B170" s="1">
        <v>19.329999999999998</v>
      </c>
      <c r="C170" s="1">
        <v>37.94</v>
      </c>
      <c r="D170" s="1">
        <f>Tabelle1[[#This Row],[Gross Sales Price]]/1.18</f>
        <v>32.152542372881356</v>
      </c>
      <c r="E170" s="1">
        <f>Tabelle1[[#This Row],[Gross Sales Price]]*0.12</f>
        <v>4.5527999999999995</v>
      </c>
      <c r="F170" s="1">
        <v>0.4</v>
      </c>
      <c r="G170" s="1">
        <v>3</v>
      </c>
      <c r="H170" s="1">
        <v>2</v>
      </c>
      <c r="I170" s="2">
        <f>Tabelle1[[#This Row],[Base Price]]+Tabelle1[[#This Row],[Total Selling Costs
	]]+Tabelle1[[#This Row],[DHL Costs]]+Tabelle1[[#This Row],[Handling Costs]]+Tabelle1[[#This Row],[Fixed Costs]]</f>
        <v>29.282799999999995</v>
      </c>
      <c r="J170" s="1">
        <f>Tabelle1[[#This Row],[Net Sales Price]]-Tabelle1[[#This Row],[Variable Costs]]</f>
        <v>2.8697423728813618</v>
      </c>
    </row>
    <row r="171" spans="1:10" ht="14.25" customHeight="1" x14ac:dyDescent="0.25">
      <c r="A171" s="8" t="s">
        <v>179</v>
      </c>
      <c r="B171" s="1">
        <v>19.12</v>
      </c>
      <c r="C171" s="1">
        <v>17.21</v>
      </c>
      <c r="D171" s="1">
        <f>Tabelle1[[#This Row],[Gross Sales Price]]/1.18</f>
        <v>14.584745762711865</v>
      </c>
      <c r="E171" s="1">
        <f>Tabelle1[[#This Row],[Gross Sales Price]]*0.12</f>
        <v>2.0651999999999999</v>
      </c>
      <c r="F171" s="1">
        <v>0.4</v>
      </c>
      <c r="G171" s="1">
        <v>3</v>
      </c>
      <c r="H171" s="1">
        <v>2</v>
      </c>
      <c r="I171" s="2">
        <f>Tabelle1[[#This Row],[Base Price]]+Tabelle1[[#This Row],[Total Selling Costs
	]]+Tabelle1[[#This Row],[DHL Costs]]+Tabelle1[[#This Row],[Handling Costs]]+Tabelle1[[#This Row],[Fixed Costs]]</f>
        <v>26.5852</v>
      </c>
      <c r="J171" s="1">
        <f>Tabelle1[[#This Row],[Net Sales Price]]-Tabelle1[[#This Row],[Variable Costs]]</f>
        <v>-12.000454237288135</v>
      </c>
    </row>
    <row r="172" spans="1:10" ht="14.25" customHeight="1" x14ac:dyDescent="0.25">
      <c r="A172" s="8" t="s">
        <v>180</v>
      </c>
      <c r="B172" s="1">
        <v>2.92</v>
      </c>
      <c r="C172" s="1">
        <v>11.05</v>
      </c>
      <c r="D172" s="1">
        <f>Tabelle1[[#This Row],[Gross Sales Price]]/1.18</f>
        <v>9.3644067796610173</v>
      </c>
      <c r="E172" s="1">
        <f>Tabelle1[[#This Row],[Gross Sales Price]]*0.12</f>
        <v>1.3260000000000001</v>
      </c>
      <c r="F172" s="1">
        <v>0.4</v>
      </c>
      <c r="G172" s="1">
        <v>3</v>
      </c>
      <c r="H172" s="1">
        <v>2</v>
      </c>
      <c r="I172" s="2">
        <f>Tabelle1[[#This Row],[Base Price]]+Tabelle1[[#This Row],[Total Selling Costs
	]]+Tabelle1[[#This Row],[DHL Costs]]+Tabelle1[[#This Row],[Handling Costs]]+Tabelle1[[#This Row],[Fixed Costs]]</f>
        <v>9.6460000000000008</v>
      </c>
      <c r="J172" s="1">
        <f>Tabelle1[[#This Row],[Net Sales Price]]-Tabelle1[[#This Row],[Variable Costs]]</f>
        <v>-0.28159322033898349</v>
      </c>
    </row>
    <row r="173" spans="1:10" ht="14.25" customHeight="1" x14ac:dyDescent="0.25">
      <c r="A173" s="8" t="s">
        <v>181</v>
      </c>
      <c r="B173" s="1">
        <v>18.23</v>
      </c>
      <c r="C173" s="1">
        <v>25.86</v>
      </c>
      <c r="D173" s="1">
        <f>Tabelle1[[#This Row],[Gross Sales Price]]/1.18</f>
        <v>21.915254237288135</v>
      </c>
      <c r="E173" s="1">
        <f>Tabelle1[[#This Row],[Gross Sales Price]]*0.12</f>
        <v>3.1031999999999997</v>
      </c>
      <c r="F173" s="1">
        <v>0.4</v>
      </c>
      <c r="G173" s="1">
        <v>3</v>
      </c>
      <c r="H173" s="1">
        <v>2</v>
      </c>
      <c r="I173" s="2">
        <f>Tabelle1[[#This Row],[Base Price]]+Tabelle1[[#This Row],[Total Selling Costs
	]]+Tabelle1[[#This Row],[DHL Costs]]+Tabelle1[[#This Row],[Handling Costs]]+Tabelle1[[#This Row],[Fixed Costs]]</f>
        <v>26.7332</v>
      </c>
      <c r="J173" s="1">
        <f>Tabelle1[[#This Row],[Net Sales Price]]-Tabelle1[[#This Row],[Variable Costs]]</f>
        <v>-4.8179457627118651</v>
      </c>
    </row>
    <row r="174" spans="1:10" ht="14.25" customHeight="1" x14ac:dyDescent="0.25">
      <c r="A174" s="8" t="s">
        <v>182</v>
      </c>
      <c r="B174" s="1">
        <v>18.73</v>
      </c>
      <c r="C174" s="1">
        <v>5.59</v>
      </c>
      <c r="D174" s="1">
        <f>Tabelle1[[#This Row],[Gross Sales Price]]/1.18</f>
        <v>4.7372881355932206</v>
      </c>
      <c r="E174" s="1">
        <f>Tabelle1[[#This Row],[Gross Sales Price]]*0.12</f>
        <v>0.67079999999999995</v>
      </c>
      <c r="F174" s="1">
        <v>0.4</v>
      </c>
      <c r="G174" s="1">
        <v>3</v>
      </c>
      <c r="H174" s="1">
        <v>2</v>
      </c>
      <c r="I174" s="2">
        <f>Tabelle1[[#This Row],[Base Price]]+Tabelle1[[#This Row],[Total Selling Costs
	]]+Tabelle1[[#This Row],[DHL Costs]]+Tabelle1[[#This Row],[Handling Costs]]+Tabelle1[[#This Row],[Fixed Costs]]</f>
        <v>24.800799999999999</v>
      </c>
      <c r="J174" s="1">
        <f>Tabelle1[[#This Row],[Net Sales Price]]-Tabelle1[[#This Row],[Variable Costs]]</f>
        <v>-20.063511864406777</v>
      </c>
    </row>
    <row r="175" spans="1:10" ht="14.25" customHeight="1" x14ac:dyDescent="0.25">
      <c r="A175" s="8" t="s">
        <v>183</v>
      </c>
      <c r="B175" s="1">
        <v>14.8</v>
      </c>
      <c r="C175" s="1">
        <v>2.8</v>
      </c>
      <c r="D175" s="1">
        <f>Tabelle1[[#This Row],[Gross Sales Price]]/1.18</f>
        <v>2.3728813559322033</v>
      </c>
      <c r="E175" s="1">
        <f>Tabelle1[[#This Row],[Gross Sales Price]]*0.12</f>
        <v>0.33599999999999997</v>
      </c>
      <c r="F175" s="1">
        <v>0.4</v>
      </c>
      <c r="G175" s="1">
        <v>3</v>
      </c>
      <c r="H175" s="1">
        <v>2</v>
      </c>
      <c r="I175" s="2">
        <f>Tabelle1[[#This Row],[Base Price]]+Tabelle1[[#This Row],[Total Selling Costs
	]]+Tabelle1[[#This Row],[DHL Costs]]+Tabelle1[[#This Row],[Handling Costs]]+Tabelle1[[#This Row],[Fixed Costs]]</f>
        <v>20.536000000000001</v>
      </c>
      <c r="J175" s="1">
        <f>Tabelle1[[#This Row],[Net Sales Price]]-Tabelle1[[#This Row],[Variable Costs]]</f>
        <v>-18.163118644067797</v>
      </c>
    </row>
    <row r="176" spans="1:10" ht="14.25" customHeight="1" x14ac:dyDescent="0.25">
      <c r="A176" s="8" t="s">
        <v>184</v>
      </c>
      <c r="B176" s="1">
        <v>12.1</v>
      </c>
      <c r="C176" s="1">
        <v>40.96</v>
      </c>
      <c r="D176" s="1">
        <f>Tabelle1[[#This Row],[Gross Sales Price]]/1.18</f>
        <v>34.711864406779661</v>
      </c>
      <c r="E176" s="1">
        <f>Tabelle1[[#This Row],[Gross Sales Price]]*0.12</f>
        <v>4.9151999999999996</v>
      </c>
      <c r="F176" s="1">
        <v>0.4</v>
      </c>
      <c r="G176" s="1">
        <v>3</v>
      </c>
      <c r="H176" s="1">
        <v>2</v>
      </c>
      <c r="I176" s="2">
        <f>Tabelle1[[#This Row],[Base Price]]+Tabelle1[[#This Row],[Total Selling Costs
	]]+Tabelle1[[#This Row],[DHL Costs]]+Tabelle1[[#This Row],[Handling Costs]]+Tabelle1[[#This Row],[Fixed Costs]]</f>
        <v>22.415199999999999</v>
      </c>
      <c r="J176" s="1">
        <f>Tabelle1[[#This Row],[Net Sales Price]]-Tabelle1[[#This Row],[Variable Costs]]</f>
        <v>12.296664406779662</v>
      </c>
    </row>
    <row r="177" spans="1:10" ht="14.25" customHeight="1" x14ac:dyDescent="0.25">
      <c r="A177" s="8" t="s">
        <v>185</v>
      </c>
      <c r="B177" s="1">
        <v>2.82</v>
      </c>
      <c r="C177" s="1">
        <v>21.21</v>
      </c>
      <c r="D177" s="1">
        <f>Tabelle1[[#This Row],[Gross Sales Price]]/1.18</f>
        <v>17.974576271186443</v>
      </c>
      <c r="E177" s="1">
        <f>Tabelle1[[#This Row],[Gross Sales Price]]*0.12</f>
        <v>2.5451999999999999</v>
      </c>
      <c r="F177" s="1">
        <v>0.4</v>
      </c>
      <c r="G177" s="1">
        <v>3</v>
      </c>
      <c r="H177" s="1">
        <v>2</v>
      </c>
      <c r="I177" s="2">
        <f>Tabelle1[[#This Row],[Base Price]]+Tabelle1[[#This Row],[Total Selling Costs
	]]+Tabelle1[[#This Row],[DHL Costs]]+Tabelle1[[#This Row],[Handling Costs]]+Tabelle1[[#This Row],[Fixed Costs]]</f>
        <v>10.7652</v>
      </c>
      <c r="J177" s="1">
        <f>Tabelle1[[#This Row],[Net Sales Price]]-Tabelle1[[#This Row],[Variable Costs]]</f>
        <v>7.2093762711864429</v>
      </c>
    </row>
    <row r="178" spans="1:10" ht="14.25" customHeight="1" x14ac:dyDescent="0.25">
      <c r="A178" s="8" t="s">
        <v>186</v>
      </c>
      <c r="B178" s="1">
        <v>2.2599999999999998</v>
      </c>
      <c r="C178" s="1">
        <v>20.95</v>
      </c>
      <c r="D178" s="1">
        <f>Tabelle1[[#This Row],[Gross Sales Price]]/1.18</f>
        <v>17.754237288135595</v>
      </c>
      <c r="E178" s="1">
        <f>Tabelle1[[#This Row],[Gross Sales Price]]*0.12</f>
        <v>2.5139999999999998</v>
      </c>
      <c r="F178" s="1">
        <v>0.4</v>
      </c>
      <c r="G178" s="1">
        <v>3</v>
      </c>
      <c r="H178" s="1">
        <v>2</v>
      </c>
      <c r="I178" s="2">
        <f>Tabelle1[[#This Row],[Base Price]]+Tabelle1[[#This Row],[Total Selling Costs
	]]+Tabelle1[[#This Row],[DHL Costs]]+Tabelle1[[#This Row],[Handling Costs]]+Tabelle1[[#This Row],[Fixed Costs]]</f>
        <v>10.173999999999999</v>
      </c>
      <c r="J178" s="1">
        <f>Tabelle1[[#This Row],[Net Sales Price]]-Tabelle1[[#This Row],[Variable Costs]]</f>
        <v>7.5802372881355957</v>
      </c>
    </row>
    <row r="179" spans="1:10" ht="14.25" customHeight="1" x14ac:dyDescent="0.25">
      <c r="A179" s="8" t="s">
        <v>187</v>
      </c>
      <c r="B179" s="1">
        <v>12.47</v>
      </c>
      <c r="C179" s="1">
        <v>4.33</v>
      </c>
      <c r="D179" s="1">
        <f>Tabelle1[[#This Row],[Gross Sales Price]]/1.18</f>
        <v>3.6694915254237293</v>
      </c>
      <c r="E179" s="1">
        <f>Tabelle1[[#This Row],[Gross Sales Price]]*0.12</f>
        <v>0.51959999999999995</v>
      </c>
      <c r="F179" s="1">
        <v>0.4</v>
      </c>
      <c r="G179" s="1">
        <v>3</v>
      </c>
      <c r="H179" s="1">
        <v>2</v>
      </c>
      <c r="I179" s="2">
        <f>Tabelle1[[#This Row],[Base Price]]+Tabelle1[[#This Row],[Total Selling Costs
	]]+Tabelle1[[#This Row],[DHL Costs]]+Tabelle1[[#This Row],[Handling Costs]]+Tabelle1[[#This Row],[Fixed Costs]]</f>
        <v>18.389600000000002</v>
      </c>
      <c r="J179" s="1">
        <f>Tabelle1[[#This Row],[Net Sales Price]]-Tabelle1[[#This Row],[Variable Costs]]</f>
        <v>-14.720108474576271</v>
      </c>
    </row>
    <row r="180" spans="1:10" ht="14.25" customHeight="1" x14ac:dyDescent="0.25">
      <c r="A180" s="8" t="s">
        <v>188</v>
      </c>
      <c r="B180" s="1">
        <v>18.93</v>
      </c>
      <c r="C180" s="1">
        <v>8.5</v>
      </c>
      <c r="D180" s="1">
        <f>Tabelle1[[#This Row],[Gross Sales Price]]/1.18</f>
        <v>7.2033898305084749</v>
      </c>
      <c r="E180" s="1">
        <f>Tabelle1[[#This Row],[Gross Sales Price]]*0.12</f>
        <v>1.02</v>
      </c>
      <c r="F180" s="1">
        <v>0.4</v>
      </c>
      <c r="G180" s="1">
        <v>3</v>
      </c>
      <c r="H180" s="1">
        <v>2</v>
      </c>
      <c r="I180" s="2">
        <f>Tabelle1[[#This Row],[Base Price]]+Tabelle1[[#This Row],[Total Selling Costs
	]]+Tabelle1[[#This Row],[DHL Costs]]+Tabelle1[[#This Row],[Handling Costs]]+Tabelle1[[#This Row],[Fixed Costs]]</f>
        <v>25.349999999999998</v>
      </c>
      <c r="J180" s="1">
        <f>Tabelle1[[#This Row],[Net Sales Price]]-Tabelle1[[#This Row],[Variable Costs]]</f>
        <v>-18.146610169491524</v>
      </c>
    </row>
    <row r="181" spans="1:10" ht="14.25" customHeight="1" x14ac:dyDescent="0.25">
      <c r="A181" s="8" t="s">
        <v>189</v>
      </c>
      <c r="B181" s="1">
        <v>19.7</v>
      </c>
      <c r="C181" s="1">
        <v>3.53</v>
      </c>
      <c r="D181" s="1">
        <f>Tabelle1[[#This Row],[Gross Sales Price]]/1.18</f>
        <v>2.9915254237288136</v>
      </c>
      <c r="E181" s="1">
        <f>Tabelle1[[#This Row],[Gross Sales Price]]*0.12</f>
        <v>0.42359999999999998</v>
      </c>
      <c r="F181" s="1">
        <v>0.4</v>
      </c>
      <c r="G181" s="1">
        <v>3</v>
      </c>
      <c r="H181" s="1">
        <v>2</v>
      </c>
      <c r="I181" s="2">
        <f>Tabelle1[[#This Row],[Base Price]]+Tabelle1[[#This Row],[Total Selling Costs
	]]+Tabelle1[[#This Row],[DHL Costs]]+Tabelle1[[#This Row],[Handling Costs]]+Tabelle1[[#This Row],[Fixed Costs]]</f>
        <v>25.523599999999998</v>
      </c>
      <c r="J181" s="1">
        <f>Tabelle1[[#This Row],[Net Sales Price]]-Tabelle1[[#This Row],[Variable Costs]]</f>
        <v>-22.532074576271185</v>
      </c>
    </row>
    <row r="182" spans="1:10" ht="14.25" customHeight="1" x14ac:dyDescent="0.25">
      <c r="A182" s="8" t="s">
        <v>190</v>
      </c>
      <c r="B182" s="1">
        <v>3.62</v>
      </c>
      <c r="C182" s="1">
        <v>18.11</v>
      </c>
      <c r="D182" s="1">
        <f>Tabelle1[[#This Row],[Gross Sales Price]]/1.18</f>
        <v>15.347457627118644</v>
      </c>
      <c r="E182" s="1">
        <f>Tabelle1[[#This Row],[Gross Sales Price]]*0.12</f>
        <v>2.1732</v>
      </c>
      <c r="F182" s="1">
        <v>0.4</v>
      </c>
      <c r="G182" s="1">
        <v>3</v>
      </c>
      <c r="H182" s="1">
        <v>2</v>
      </c>
      <c r="I182" s="2">
        <f>Tabelle1[[#This Row],[Base Price]]+Tabelle1[[#This Row],[Total Selling Costs
	]]+Tabelle1[[#This Row],[DHL Costs]]+Tabelle1[[#This Row],[Handling Costs]]+Tabelle1[[#This Row],[Fixed Costs]]</f>
        <v>11.193200000000001</v>
      </c>
      <c r="J182" s="1">
        <f>Tabelle1[[#This Row],[Net Sales Price]]-Tabelle1[[#This Row],[Variable Costs]]</f>
        <v>4.1542576271186427</v>
      </c>
    </row>
    <row r="183" spans="1:10" ht="14.25" customHeight="1" x14ac:dyDescent="0.25">
      <c r="A183" s="8" t="s">
        <v>191</v>
      </c>
      <c r="B183" s="1">
        <v>12.23</v>
      </c>
      <c r="C183" s="1">
        <v>9.61</v>
      </c>
      <c r="D183" s="1">
        <f>Tabelle1[[#This Row],[Gross Sales Price]]/1.18</f>
        <v>8.1440677966101696</v>
      </c>
      <c r="E183" s="1">
        <f>Tabelle1[[#This Row],[Gross Sales Price]]*0.12</f>
        <v>1.1531999999999998</v>
      </c>
      <c r="F183" s="1">
        <v>0.4</v>
      </c>
      <c r="G183" s="1">
        <v>3</v>
      </c>
      <c r="H183" s="1">
        <v>2</v>
      </c>
      <c r="I183" s="2">
        <f>Tabelle1[[#This Row],[Base Price]]+Tabelle1[[#This Row],[Total Selling Costs
	]]+Tabelle1[[#This Row],[DHL Costs]]+Tabelle1[[#This Row],[Handling Costs]]+Tabelle1[[#This Row],[Fixed Costs]]</f>
        <v>18.783200000000001</v>
      </c>
      <c r="J183" s="1">
        <f>Tabelle1[[#This Row],[Net Sales Price]]-Tabelle1[[#This Row],[Variable Costs]]</f>
        <v>-10.639132203389831</v>
      </c>
    </row>
    <row r="184" spans="1:10" ht="14.25" customHeight="1" x14ac:dyDescent="0.25">
      <c r="A184" s="8" t="s">
        <v>192</v>
      </c>
      <c r="B184" s="1">
        <v>15.48</v>
      </c>
      <c r="C184" s="1">
        <v>21.49</v>
      </c>
      <c r="D184" s="1">
        <f>Tabelle1[[#This Row],[Gross Sales Price]]/1.18</f>
        <v>18.211864406779661</v>
      </c>
      <c r="E184" s="1">
        <f>Tabelle1[[#This Row],[Gross Sales Price]]*0.12</f>
        <v>2.5787999999999998</v>
      </c>
      <c r="F184" s="1">
        <v>0.4</v>
      </c>
      <c r="G184" s="1">
        <v>3</v>
      </c>
      <c r="H184" s="1">
        <v>2</v>
      </c>
      <c r="I184" s="2">
        <f>Tabelle1[[#This Row],[Base Price]]+Tabelle1[[#This Row],[Total Selling Costs
	]]+Tabelle1[[#This Row],[DHL Costs]]+Tabelle1[[#This Row],[Handling Costs]]+Tabelle1[[#This Row],[Fixed Costs]]</f>
        <v>23.4588</v>
      </c>
      <c r="J184" s="1">
        <f>Tabelle1[[#This Row],[Net Sales Price]]-Tabelle1[[#This Row],[Variable Costs]]</f>
        <v>-5.2469355932203392</v>
      </c>
    </row>
    <row r="185" spans="1:10" ht="14.25" customHeight="1" x14ac:dyDescent="0.25">
      <c r="A185" s="8" t="s">
        <v>193</v>
      </c>
      <c r="B185" s="1">
        <v>4.34</v>
      </c>
      <c r="C185" s="1">
        <v>9.48</v>
      </c>
      <c r="D185" s="1">
        <f>Tabelle1[[#This Row],[Gross Sales Price]]/1.18</f>
        <v>8.0338983050847457</v>
      </c>
      <c r="E185" s="1">
        <f>Tabelle1[[#This Row],[Gross Sales Price]]*0.12</f>
        <v>1.1375999999999999</v>
      </c>
      <c r="F185" s="1">
        <v>0.4</v>
      </c>
      <c r="G185" s="1">
        <v>3</v>
      </c>
      <c r="H185" s="1">
        <v>2</v>
      </c>
      <c r="I185" s="2">
        <f>Tabelle1[[#This Row],[Base Price]]+Tabelle1[[#This Row],[Total Selling Costs
	]]+Tabelle1[[#This Row],[DHL Costs]]+Tabelle1[[#This Row],[Handling Costs]]+Tabelle1[[#This Row],[Fixed Costs]]</f>
        <v>10.877599999999999</v>
      </c>
      <c r="J185" s="1">
        <f>Tabelle1[[#This Row],[Net Sales Price]]-Tabelle1[[#This Row],[Variable Costs]]</f>
        <v>-2.8437016949152536</v>
      </c>
    </row>
    <row r="186" spans="1:10" ht="14.25" customHeight="1" x14ac:dyDescent="0.25">
      <c r="A186" s="8" t="s">
        <v>194</v>
      </c>
      <c r="B186" s="1">
        <v>9.7799999999999994</v>
      </c>
      <c r="C186" s="1">
        <v>35.32</v>
      </c>
      <c r="D186" s="1">
        <f>Tabelle1[[#This Row],[Gross Sales Price]]/1.18</f>
        <v>29.932203389830509</v>
      </c>
      <c r="E186" s="1">
        <f>Tabelle1[[#This Row],[Gross Sales Price]]*0.12</f>
        <v>4.2383999999999995</v>
      </c>
      <c r="F186" s="1">
        <v>0.4</v>
      </c>
      <c r="G186" s="1">
        <v>3</v>
      </c>
      <c r="H186" s="1">
        <v>2</v>
      </c>
      <c r="I186" s="2">
        <f>Tabelle1[[#This Row],[Base Price]]+Tabelle1[[#This Row],[Total Selling Costs
	]]+Tabelle1[[#This Row],[DHL Costs]]+Tabelle1[[#This Row],[Handling Costs]]+Tabelle1[[#This Row],[Fixed Costs]]</f>
        <v>19.418399999999998</v>
      </c>
      <c r="J186" s="1">
        <f>Tabelle1[[#This Row],[Net Sales Price]]-Tabelle1[[#This Row],[Variable Costs]]</f>
        <v>10.51380338983051</v>
      </c>
    </row>
    <row r="187" spans="1:10" ht="14.25" customHeight="1" x14ac:dyDescent="0.25">
      <c r="A187" s="8" t="s">
        <v>195</v>
      </c>
      <c r="B187" s="1">
        <v>5.25</v>
      </c>
      <c r="C187" s="1">
        <v>35.79</v>
      </c>
      <c r="D187" s="1">
        <f>Tabelle1[[#This Row],[Gross Sales Price]]/1.18</f>
        <v>30.330508474576273</v>
      </c>
      <c r="E187" s="1">
        <f>Tabelle1[[#This Row],[Gross Sales Price]]*0.12</f>
        <v>4.2947999999999995</v>
      </c>
      <c r="F187" s="1">
        <v>0.4</v>
      </c>
      <c r="G187" s="1">
        <v>3</v>
      </c>
      <c r="H187" s="1">
        <v>2</v>
      </c>
      <c r="I187" s="2">
        <f>Tabelle1[[#This Row],[Base Price]]+Tabelle1[[#This Row],[Total Selling Costs
	]]+Tabelle1[[#This Row],[DHL Costs]]+Tabelle1[[#This Row],[Handling Costs]]+Tabelle1[[#This Row],[Fixed Costs]]</f>
        <v>14.944799999999999</v>
      </c>
      <c r="J187" s="1">
        <f>Tabelle1[[#This Row],[Net Sales Price]]-Tabelle1[[#This Row],[Variable Costs]]</f>
        <v>15.385708474576274</v>
      </c>
    </row>
    <row r="188" spans="1:10" ht="14.25" customHeight="1" x14ac:dyDescent="0.25">
      <c r="A188" s="8" t="s">
        <v>196</v>
      </c>
      <c r="B188" s="1">
        <v>18.04</v>
      </c>
      <c r="C188" s="1">
        <v>6.12</v>
      </c>
      <c r="D188" s="1">
        <f>Tabelle1[[#This Row],[Gross Sales Price]]/1.18</f>
        <v>5.1864406779661021</v>
      </c>
      <c r="E188" s="1">
        <f>Tabelle1[[#This Row],[Gross Sales Price]]*0.12</f>
        <v>0.73439999999999994</v>
      </c>
      <c r="F188" s="1">
        <v>0.4</v>
      </c>
      <c r="G188" s="1">
        <v>3</v>
      </c>
      <c r="H188" s="1">
        <v>2</v>
      </c>
      <c r="I188" s="2">
        <f>Tabelle1[[#This Row],[Base Price]]+Tabelle1[[#This Row],[Total Selling Costs
	]]+Tabelle1[[#This Row],[DHL Costs]]+Tabelle1[[#This Row],[Handling Costs]]+Tabelle1[[#This Row],[Fixed Costs]]</f>
        <v>24.174399999999999</v>
      </c>
      <c r="J188" s="1">
        <f>Tabelle1[[#This Row],[Net Sales Price]]-Tabelle1[[#This Row],[Variable Costs]]</f>
        <v>-18.987959322033895</v>
      </c>
    </row>
    <row r="189" spans="1:10" ht="14.25" customHeight="1" x14ac:dyDescent="0.25">
      <c r="A189" s="8" t="s">
        <v>197</v>
      </c>
      <c r="B189" s="1">
        <v>9.98</v>
      </c>
      <c r="C189" s="1">
        <v>12.49</v>
      </c>
      <c r="D189" s="1">
        <f>Tabelle1[[#This Row],[Gross Sales Price]]/1.18</f>
        <v>10.584745762711865</v>
      </c>
      <c r="E189" s="1">
        <f>Tabelle1[[#This Row],[Gross Sales Price]]*0.12</f>
        <v>1.4987999999999999</v>
      </c>
      <c r="F189" s="1">
        <v>0.4</v>
      </c>
      <c r="G189" s="1">
        <v>3</v>
      </c>
      <c r="H189" s="1">
        <v>2</v>
      </c>
      <c r="I189" s="2">
        <f>Tabelle1[[#This Row],[Base Price]]+Tabelle1[[#This Row],[Total Selling Costs
	]]+Tabelle1[[#This Row],[DHL Costs]]+Tabelle1[[#This Row],[Handling Costs]]+Tabelle1[[#This Row],[Fixed Costs]]</f>
        <v>16.878799999999998</v>
      </c>
      <c r="J189" s="1">
        <f>Tabelle1[[#This Row],[Net Sales Price]]-Tabelle1[[#This Row],[Variable Costs]]</f>
        <v>-6.2940542372881332</v>
      </c>
    </row>
    <row r="190" spans="1:10" ht="14.25" customHeight="1" x14ac:dyDescent="0.25">
      <c r="A190" s="8" t="s">
        <v>198</v>
      </c>
      <c r="B190" s="1">
        <v>18.61</v>
      </c>
      <c r="C190" s="1">
        <v>10.88</v>
      </c>
      <c r="D190" s="1">
        <f>Tabelle1[[#This Row],[Gross Sales Price]]/1.18</f>
        <v>9.2203389830508478</v>
      </c>
      <c r="E190" s="1">
        <f>Tabelle1[[#This Row],[Gross Sales Price]]*0.12</f>
        <v>1.3056000000000001</v>
      </c>
      <c r="F190" s="1">
        <v>0.4</v>
      </c>
      <c r="G190" s="1">
        <v>3</v>
      </c>
      <c r="H190" s="1">
        <v>2</v>
      </c>
      <c r="I190" s="2">
        <f>Tabelle1[[#This Row],[Base Price]]+Tabelle1[[#This Row],[Total Selling Costs
	]]+Tabelle1[[#This Row],[DHL Costs]]+Tabelle1[[#This Row],[Handling Costs]]+Tabelle1[[#This Row],[Fixed Costs]]</f>
        <v>25.315599999999996</v>
      </c>
      <c r="J190" s="1">
        <f>Tabelle1[[#This Row],[Net Sales Price]]-Tabelle1[[#This Row],[Variable Costs]]</f>
        <v>-16.095261016949149</v>
      </c>
    </row>
    <row r="191" spans="1:10" ht="14.25" customHeight="1" x14ac:dyDescent="0.25">
      <c r="A191" s="8" t="s">
        <v>199</v>
      </c>
      <c r="B191" s="1">
        <v>11.19</v>
      </c>
      <c r="C191" s="1">
        <v>5.51</v>
      </c>
      <c r="D191" s="1">
        <f>Tabelle1[[#This Row],[Gross Sales Price]]/1.18</f>
        <v>4.6694915254237293</v>
      </c>
      <c r="E191" s="1">
        <f>Tabelle1[[#This Row],[Gross Sales Price]]*0.12</f>
        <v>0.6611999999999999</v>
      </c>
      <c r="F191" s="1">
        <v>0.4</v>
      </c>
      <c r="G191" s="1">
        <v>3</v>
      </c>
      <c r="H191" s="1">
        <v>2</v>
      </c>
      <c r="I191" s="2">
        <f>Tabelle1[[#This Row],[Base Price]]+Tabelle1[[#This Row],[Total Selling Costs
	]]+Tabelle1[[#This Row],[DHL Costs]]+Tabelle1[[#This Row],[Handling Costs]]+Tabelle1[[#This Row],[Fixed Costs]]</f>
        <v>17.251199999999997</v>
      </c>
      <c r="J191" s="1">
        <f>Tabelle1[[#This Row],[Net Sales Price]]-Tabelle1[[#This Row],[Variable Costs]]</f>
        <v>-12.581708474576267</v>
      </c>
    </row>
    <row r="192" spans="1:10" ht="14.25" customHeight="1" x14ac:dyDescent="0.25">
      <c r="A192" s="8" t="s">
        <v>200</v>
      </c>
      <c r="B192" s="1">
        <v>15.26</v>
      </c>
      <c r="C192" s="1">
        <v>35.659999999999997</v>
      </c>
      <c r="D192" s="1">
        <f>Tabelle1[[#This Row],[Gross Sales Price]]/1.18</f>
        <v>30.220338983050848</v>
      </c>
      <c r="E192" s="1">
        <f>Tabelle1[[#This Row],[Gross Sales Price]]*0.12</f>
        <v>4.2791999999999994</v>
      </c>
      <c r="F192" s="1">
        <v>0.4</v>
      </c>
      <c r="G192" s="1">
        <v>3</v>
      </c>
      <c r="H192" s="1">
        <v>2</v>
      </c>
      <c r="I192" s="2">
        <f>Tabelle1[[#This Row],[Base Price]]+Tabelle1[[#This Row],[Total Selling Costs
	]]+Tabelle1[[#This Row],[DHL Costs]]+Tabelle1[[#This Row],[Handling Costs]]+Tabelle1[[#This Row],[Fixed Costs]]</f>
        <v>24.9392</v>
      </c>
      <c r="J192" s="1">
        <f>Tabelle1[[#This Row],[Net Sales Price]]-Tabelle1[[#This Row],[Variable Costs]]</f>
        <v>5.2811389830508482</v>
      </c>
    </row>
    <row r="193" spans="1:10" ht="14.25" customHeight="1" x14ac:dyDescent="0.25">
      <c r="A193" s="8" t="s">
        <v>201</v>
      </c>
      <c r="B193" s="1">
        <v>16.399999999999999</v>
      </c>
      <c r="C193" s="1">
        <v>36.25</v>
      </c>
      <c r="D193" s="1">
        <f>Tabelle1[[#This Row],[Gross Sales Price]]/1.18</f>
        <v>30.720338983050848</v>
      </c>
      <c r="E193" s="1">
        <f>Tabelle1[[#This Row],[Gross Sales Price]]*0.12</f>
        <v>4.3499999999999996</v>
      </c>
      <c r="F193" s="1">
        <v>0.4</v>
      </c>
      <c r="G193" s="1">
        <v>3</v>
      </c>
      <c r="H193" s="1">
        <v>2</v>
      </c>
      <c r="I193" s="2">
        <f>Tabelle1[[#This Row],[Base Price]]+Tabelle1[[#This Row],[Total Selling Costs
	]]+Tabelle1[[#This Row],[DHL Costs]]+Tabelle1[[#This Row],[Handling Costs]]+Tabelle1[[#This Row],[Fixed Costs]]</f>
        <v>26.15</v>
      </c>
      <c r="J193" s="1">
        <f>Tabelle1[[#This Row],[Net Sales Price]]-Tabelle1[[#This Row],[Variable Costs]]</f>
        <v>4.5703389830508492</v>
      </c>
    </row>
    <row r="194" spans="1:10" ht="14.25" customHeight="1" x14ac:dyDescent="0.25">
      <c r="A194" s="8" t="s">
        <v>202</v>
      </c>
      <c r="B194" s="1">
        <v>10.1</v>
      </c>
      <c r="C194" s="1">
        <v>3.88</v>
      </c>
      <c r="D194" s="1">
        <f>Tabelle1[[#This Row],[Gross Sales Price]]/1.18</f>
        <v>3.2881355932203391</v>
      </c>
      <c r="E194" s="1">
        <f>Tabelle1[[#This Row],[Gross Sales Price]]*0.12</f>
        <v>0.46559999999999996</v>
      </c>
      <c r="F194" s="1">
        <v>0.4</v>
      </c>
      <c r="G194" s="1">
        <v>3</v>
      </c>
      <c r="H194" s="1">
        <v>2</v>
      </c>
      <c r="I194" s="2">
        <f>Tabelle1[[#This Row],[Base Price]]+Tabelle1[[#This Row],[Total Selling Costs
	]]+Tabelle1[[#This Row],[DHL Costs]]+Tabelle1[[#This Row],[Handling Costs]]+Tabelle1[[#This Row],[Fixed Costs]]</f>
        <v>15.9656</v>
      </c>
      <c r="J194" s="1">
        <f>Tabelle1[[#This Row],[Net Sales Price]]-Tabelle1[[#This Row],[Variable Costs]]</f>
        <v>-12.677464406779661</v>
      </c>
    </row>
    <row r="195" spans="1:10" ht="14.25" customHeight="1" x14ac:dyDescent="0.25">
      <c r="A195" s="8" t="s">
        <v>203</v>
      </c>
      <c r="B195" s="1">
        <v>7.42</v>
      </c>
      <c r="C195" s="1">
        <v>37.85</v>
      </c>
      <c r="D195" s="1">
        <f>Tabelle1[[#This Row],[Gross Sales Price]]/1.18</f>
        <v>32.076271186440678</v>
      </c>
      <c r="E195" s="1">
        <f>Tabelle1[[#This Row],[Gross Sales Price]]*0.12</f>
        <v>4.5419999999999998</v>
      </c>
      <c r="F195" s="1">
        <v>0.4</v>
      </c>
      <c r="G195" s="1">
        <v>3</v>
      </c>
      <c r="H195" s="1">
        <v>2</v>
      </c>
      <c r="I195" s="2">
        <f>Tabelle1[[#This Row],[Base Price]]+Tabelle1[[#This Row],[Total Selling Costs
	]]+Tabelle1[[#This Row],[DHL Costs]]+Tabelle1[[#This Row],[Handling Costs]]+Tabelle1[[#This Row],[Fixed Costs]]</f>
        <v>17.361999999999998</v>
      </c>
      <c r="J195" s="1">
        <f>Tabelle1[[#This Row],[Net Sales Price]]-Tabelle1[[#This Row],[Variable Costs]]</f>
        <v>14.71427118644068</v>
      </c>
    </row>
    <row r="196" spans="1:10" ht="14.25" customHeight="1" x14ac:dyDescent="0.25">
      <c r="A196" s="8" t="s">
        <v>204</v>
      </c>
      <c r="B196" s="1">
        <v>3.24</v>
      </c>
      <c r="C196" s="1">
        <v>23.17</v>
      </c>
      <c r="D196" s="1">
        <f>Tabelle1[[#This Row],[Gross Sales Price]]/1.18</f>
        <v>19.635593220338986</v>
      </c>
      <c r="E196" s="1">
        <f>Tabelle1[[#This Row],[Gross Sales Price]]*0.12</f>
        <v>2.7804000000000002</v>
      </c>
      <c r="F196" s="1">
        <v>0.4</v>
      </c>
      <c r="G196" s="1">
        <v>3</v>
      </c>
      <c r="H196" s="1">
        <v>2</v>
      </c>
      <c r="I196" s="2">
        <f>Tabelle1[[#This Row],[Base Price]]+Tabelle1[[#This Row],[Total Selling Costs
	]]+Tabelle1[[#This Row],[DHL Costs]]+Tabelle1[[#This Row],[Handling Costs]]+Tabelle1[[#This Row],[Fixed Costs]]</f>
        <v>11.420400000000001</v>
      </c>
      <c r="J196" s="1">
        <f>Tabelle1[[#This Row],[Net Sales Price]]-Tabelle1[[#This Row],[Variable Costs]]</f>
        <v>8.2151932203389855</v>
      </c>
    </row>
    <row r="197" spans="1:10" ht="14.25" customHeight="1" x14ac:dyDescent="0.25">
      <c r="A197" s="8" t="s">
        <v>205</v>
      </c>
      <c r="B197" s="1">
        <v>18.14</v>
      </c>
      <c r="C197" s="1">
        <v>1.41</v>
      </c>
      <c r="D197" s="1">
        <f>Tabelle1[[#This Row],[Gross Sales Price]]/1.18</f>
        <v>1.1949152542372881</v>
      </c>
      <c r="E197" s="1">
        <f>Tabelle1[[#This Row],[Gross Sales Price]]*0.12</f>
        <v>0.16919999999999999</v>
      </c>
      <c r="F197" s="1">
        <v>0.4</v>
      </c>
      <c r="G197" s="1">
        <v>3</v>
      </c>
      <c r="H197" s="1">
        <v>2</v>
      </c>
      <c r="I197" s="2">
        <f>Tabelle1[[#This Row],[Base Price]]+Tabelle1[[#This Row],[Total Selling Costs
	]]+Tabelle1[[#This Row],[DHL Costs]]+Tabelle1[[#This Row],[Handling Costs]]+Tabelle1[[#This Row],[Fixed Costs]]</f>
        <v>23.709199999999999</v>
      </c>
      <c r="J197" s="1">
        <f>Tabelle1[[#This Row],[Net Sales Price]]-Tabelle1[[#This Row],[Variable Costs]]</f>
        <v>-22.514284745762712</v>
      </c>
    </row>
    <row r="198" spans="1:10" ht="14.25" customHeight="1" x14ac:dyDescent="0.25">
      <c r="A198" s="8" t="s">
        <v>206</v>
      </c>
      <c r="B198" s="1">
        <v>8.06</v>
      </c>
      <c r="C198" s="1">
        <v>17.329999999999998</v>
      </c>
      <c r="D198" s="1">
        <f>Tabelle1[[#This Row],[Gross Sales Price]]/1.18</f>
        <v>14.6864406779661</v>
      </c>
      <c r="E198" s="1">
        <f>Tabelle1[[#This Row],[Gross Sales Price]]*0.12</f>
        <v>2.0795999999999997</v>
      </c>
      <c r="F198" s="1">
        <v>0.4</v>
      </c>
      <c r="G198" s="1">
        <v>3</v>
      </c>
      <c r="H198" s="1">
        <v>2</v>
      </c>
      <c r="I198" s="2">
        <f>Tabelle1[[#This Row],[Base Price]]+Tabelle1[[#This Row],[Total Selling Costs
	]]+Tabelle1[[#This Row],[DHL Costs]]+Tabelle1[[#This Row],[Handling Costs]]+Tabelle1[[#This Row],[Fixed Costs]]</f>
        <v>15.5396</v>
      </c>
      <c r="J198" s="1">
        <f>Tabelle1[[#This Row],[Net Sales Price]]-Tabelle1[[#This Row],[Variable Costs]]</f>
        <v>-0.85315932203389977</v>
      </c>
    </row>
    <row r="199" spans="1:10" ht="14.25" customHeight="1" x14ac:dyDescent="0.25">
      <c r="A199" s="8" t="s">
        <v>207</v>
      </c>
      <c r="B199" s="1">
        <v>1.3</v>
      </c>
      <c r="C199" s="1">
        <v>22.37</v>
      </c>
      <c r="D199" s="1">
        <f>Tabelle1[[#This Row],[Gross Sales Price]]/1.18</f>
        <v>18.957627118644069</v>
      </c>
      <c r="E199" s="1">
        <f>Tabelle1[[#This Row],[Gross Sales Price]]*0.12</f>
        <v>2.6844000000000001</v>
      </c>
      <c r="F199" s="1">
        <v>0.4</v>
      </c>
      <c r="G199" s="1">
        <v>3</v>
      </c>
      <c r="H199" s="1">
        <v>2</v>
      </c>
      <c r="I199" s="2">
        <f>Tabelle1[[#This Row],[Base Price]]+Tabelle1[[#This Row],[Total Selling Costs
	]]+Tabelle1[[#This Row],[DHL Costs]]+Tabelle1[[#This Row],[Handling Costs]]+Tabelle1[[#This Row],[Fixed Costs]]</f>
        <v>9.3844000000000012</v>
      </c>
      <c r="J199" s="1">
        <f>Tabelle1[[#This Row],[Net Sales Price]]-Tabelle1[[#This Row],[Variable Costs]]</f>
        <v>9.5732271186440681</v>
      </c>
    </row>
    <row r="200" spans="1:10" ht="14.25" customHeight="1" x14ac:dyDescent="0.25">
      <c r="A200" s="8" t="s">
        <v>208</v>
      </c>
      <c r="B200" s="1">
        <v>16.71</v>
      </c>
      <c r="C200" s="1">
        <v>4.72</v>
      </c>
      <c r="D200" s="1">
        <f>Tabelle1[[#This Row],[Gross Sales Price]]/1.18</f>
        <v>4</v>
      </c>
      <c r="E200" s="1">
        <f>Tabelle1[[#This Row],[Gross Sales Price]]*0.12</f>
        <v>0.5663999999999999</v>
      </c>
      <c r="F200" s="1">
        <v>0.4</v>
      </c>
      <c r="G200" s="1">
        <v>3</v>
      </c>
      <c r="H200" s="1">
        <v>2</v>
      </c>
      <c r="I200" s="2">
        <f>Tabelle1[[#This Row],[Base Price]]+Tabelle1[[#This Row],[Total Selling Costs
	]]+Tabelle1[[#This Row],[DHL Costs]]+Tabelle1[[#This Row],[Handling Costs]]+Tabelle1[[#This Row],[Fixed Costs]]</f>
        <v>22.676400000000001</v>
      </c>
      <c r="J200" s="1">
        <f>Tabelle1[[#This Row],[Net Sales Price]]-Tabelle1[[#This Row],[Variable Costs]]</f>
        <v>-18.676400000000001</v>
      </c>
    </row>
    <row r="201" spans="1:10" ht="14.25" customHeight="1" x14ac:dyDescent="0.25">
      <c r="A201" s="8" t="s">
        <v>209</v>
      </c>
      <c r="B201" s="1">
        <v>12.23</v>
      </c>
      <c r="C201" s="1">
        <v>23.66</v>
      </c>
      <c r="D201" s="1">
        <f>Tabelle1[[#This Row],[Gross Sales Price]]/1.18</f>
        <v>20.050847457627121</v>
      </c>
      <c r="E201" s="1">
        <f>Tabelle1[[#This Row],[Gross Sales Price]]*0.12</f>
        <v>2.8391999999999999</v>
      </c>
      <c r="F201" s="1">
        <v>0.4</v>
      </c>
      <c r="G201" s="1">
        <v>3</v>
      </c>
      <c r="H201" s="1">
        <v>2</v>
      </c>
      <c r="I201" s="2">
        <f>Tabelle1[[#This Row],[Base Price]]+Tabelle1[[#This Row],[Total Selling Costs
	]]+Tabelle1[[#This Row],[DHL Costs]]+Tabelle1[[#This Row],[Handling Costs]]+Tabelle1[[#This Row],[Fixed Costs]]</f>
        <v>20.469200000000001</v>
      </c>
      <c r="J201" s="1">
        <f>Tabelle1[[#This Row],[Net Sales Price]]-Tabelle1[[#This Row],[Variable Costs]]</f>
        <v>-0.41835254237287955</v>
      </c>
    </row>
    <row r="202" spans="1:10" ht="14.25" customHeight="1" x14ac:dyDescent="0.25">
      <c r="A202" s="8" t="s">
        <v>210</v>
      </c>
      <c r="B202" s="1">
        <v>19.55</v>
      </c>
      <c r="C202" s="1">
        <v>29.06</v>
      </c>
      <c r="D202" s="1">
        <f>Tabelle1[[#This Row],[Gross Sales Price]]/1.18</f>
        <v>24.627118644067796</v>
      </c>
      <c r="E202" s="1">
        <f>Tabelle1[[#This Row],[Gross Sales Price]]*0.12</f>
        <v>3.4871999999999996</v>
      </c>
      <c r="F202" s="1">
        <v>0.4</v>
      </c>
      <c r="G202" s="1">
        <v>3</v>
      </c>
      <c r="H202" s="1">
        <v>2</v>
      </c>
      <c r="I202" s="2">
        <f>Tabelle1[[#This Row],[Base Price]]+Tabelle1[[#This Row],[Total Selling Costs
	]]+Tabelle1[[#This Row],[DHL Costs]]+Tabelle1[[#This Row],[Handling Costs]]+Tabelle1[[#This Row],[Fixed Costs]]</f>
        <v>28.437199999999997</v>
      </c>
      <c r="J202" s="1">
        <f>Tabelle1[[#This Row],[Net Sales Price]]-Tabelle1[[#This Row],[Variable Costs]]</f>
        <v>-3.8100813559322013</v>
      </c>
    </row>
    <row r="203" spans="1:10" ht="14.25" customHeight="1" x14ac:dyDescent="0.25">
      <c r="A203" s="8" t="s">
        <v>211</v>
      </c>
      <c r="B203" s="1">
        <v>12.83</v>
      </c>
      <c r="C203" s="1">
        <v>24.14</v>
      </c>
      <c r="D203" s="1">
        <f>Tabelle1[[#This Row],[Gross Sales Price]]/1.18</f>
        <v>20.457627118644069</v>
      </c>
      <c r="E203" s="1">
        <f>Tabelle1[[#This Row],[Gross Sales Price]]*0.12</f>
        <v>2.8967999999999998</v>
      </c>
      <c r="F203" s="1">
        <v>0.4</v>
      </c>
      <c r="G203" s="1">
        <v>3</v>
      </c>
      <c r="H203" s="1">
        <v>2</v>
      </c>
      <c r="I203" s="2">
        <f>Tabelle1[[#This Row],[Base Price]]+Tabelle1[[#This Row],[Total Selling Costs
	]]+Tabelle1[[#This Row],[DHL Costs]]+Tabelle1[[#This Row],[Handling Costs]]+Tabelle1[[#This Row],[Fixed Costs]]</f>
        <v>21.126799999999999</v>
      </c>
      <c r="J203" s="1">
        <f>Tabelle1[[#This Row],[Net Sales Price]]-Tabelle1[[#This Row],[Variable Costs]]</f>
        <v>-0.66917288135593012</v>
      </c>
    </row>
    <row r="204" spans="1:10" ht="14.25" customHeight="1" x14ac:dyDescent="0.25">
      <c r="A204" s="8" t="s">
        <v>212</v>
      </c>
      <c r="B204" s="1">
        <v>13.23</v>
      </c>
      <c r="C204" s="1">
        <v>30.4</v>
      </c>
      <c r="D204" s="1">
        <f>Tabelle1[[#This Row],[Gross Sales Price]]/1.18</f>
        <v>25.762711864406779</v>
      </c>
      <c r="E204" s="1">
        <f>Tabelle1[[#This Row],[Gross Sales Price]]*0.12</f>
        <v>3.6479999999999997</v>
      </c>
      <c r="F204" s="1">
        <v>0.4</v>
      </c>
      <c r="G204" s="1">
        <v>3</v>
      </c>
      <c r="H204" s="1">
        <v>2</v>
      </c>
      <c r="I204" s="2">
        <f>Tabelle1[[#This Row],[Base Price]]+Tabelle1[[#This Row],[Total Selling Costs
	]]+Tabelle1[[#This Row],[DHL Costs]]+Tabelle1[[#This Row],[Handling Costs]]+Tabelle1[[#This Row],[Fixed Costs]]</f>
        <v>22.277999999999999</v>
      </c>
      <c r="J204" s="1">
        <f>Tabelle1[[#This Row],[Net Sales Price]]-Tabelle1[[#This Row],[Variable Costs]]</f>
        <v>3.4847118644067798</v>
      </c>
    </row>
    <row r="205" spans="1:10" ht="14.25" customHeight="1" x14ac:dyDescent="0.25">
      <c r="A205" s="8" t="s">
        <v>213</v>
      </c>
      <c r="B205" s="1">
        <v>14.08</v>
      </c>
      <c r="C205" s="1">
        <v>30.09</v>
      </c>
      <c r="D205" s="1">
        <f>Tabelle1[[#This Row],[Gross Sales Price]]/1.18</f>
        <v>25.5</v>
      </c>
      <c r="E205" s="1">
        <f>Tabelle1[[#This Row],[Gross Sales Price]]*0.12</f>
        <v>3.6107999999999998</v>
      </c>
      <c r="F205" s="1">
        <v>0.4</v>
      </c>
      <c r="G205" s="1">
        <v>3</v>
      </c>
      <c r="H205" s="1">
        <v>2</v>
      </c>
      <c r="I205" s="2">
        <f>Tabelle1[[#This Row],[Base Price]]+Tabelle1[[#This Row],[Total Selling Costs
	]]+Tabelle1[[#This Row],[DHL Costs]]+Tabelle1[[#This Row],[Handling Costs]]+Tabelle1[[#This Row],[Fixed Costs]]</f>
        <v>23.090799999999998</v>
      </c>
      <c r="J205" s="1">
        <f>Tabelle1[[#This Row],[Net Sales Price]]-Tabelle1[[#This Row],[Variable Costs]]</f>
        <v>2.409200000000002</v>
      </c>
    </row>
    <row r="206" spans="1:10" ht="14.25" customHeight="1" x14ac:dyDescent="0.25">
      <c r="A206" s="8" t="s">
        <v>214</v>
      </c>
      <c r="B206" s="1">
        <v>14.97</v>
      </c>
      <c r="C206" s="1">
        <v>2.78</v>
      </c>
      <c r="D206" s="1">
        <f>Tabelle1[[#This Row],[Gross Sales Price]]/1.18</f>
        <v>2.3559322033898304</v>
      </c>
      <c r="E206" s="1">
        <f>Tabelle1[[#This Row],[Gross Sales Price]]*0.12</f>
        <v>0.33359999999999995</v>
      </c>
      <c r="F206" s="1">
        <v>0.4</v>
      </c>
      <c r="G206" s="1">
        <v>3</v>
      </c>
      <c r="H206" s="1">
        <v>2</v>
      </c>
      <c r="I206" s="2">
        <f>Tabelle1[[#This Row],[Base Price]]+Tabelle1[[#This Row],[Total Selling Costs
	]]+Tabelle1[[#This Row],[DHL Costs]]+Tabelle1[[#This Row],[Handling Costs]]+Tabelle1[[#This Row],[Fixed Costs]]</f>
        <v>20.703600000000002</v>
      </c>
      <c r="J206" s="1">
        <f>Tabelle1[[#This Row],[Net Sales Price]]-Tabelle1[[#This Row],[Variable Costs]]</f>
        <v>-18.347667796610171</v>
      </c>
    </row>
    <row r="207" spans="1:10" ht="14.25" customHeight="1" x14ac:dyDescent="0.25">
      <c r="A207" s="8" t="s">
        <v>215</v>
      </c>
      <c r="B207" s="1">
        <v>8.84</v>
      </c>
      <c r="C207" s="1">
        <v>14.39</v>
      </c>
      <c r="D207" s="1">
        <f>Tabelle1[[#This Row],[Gross Sales Price]]/1.18</f>
        <v>12.194915254237289</v>
      </c>
      <c r="E207" s="1">
        <f>Tabelle1[[#This Row],[Gross Sales Price]]*0.12</f>
        <v>1.7268000000000001</v>
      </c>
      <c r="F207" s="1">
        <v>0.4</v>
      </c>
      <c r="G207" s="1">
        <v>3</v>
      </c>
      <c r="H207" s="1">
        <v>2</v>
      </c>
      <c r="I207" s="2">
        <f>Tabelle1[[#This Row],[Base Price]]+Tabelle1[[#This Row],[Total Selling Costs
	]]+Tabelle1[[#This Row],[DHL Costs]]+Tabelle1[[#This Row],[Handling Costs]]+Tabelle1[[#This Row],[Fixed Costs]]</f>
        <v>15.966800000000001</v>
      </c>
      <c r="J207" s="1">
        <f>Tabelle1[[#This Row],[Net Sales Price]]-Tabelle1[[#This Row],[Variable Costs]]</f>
        <v>-3.771884745762712</v>
      </c>
    </row>
    <row r="208" spans="1:10" ht="14.25" customHeight="1" x14ac:dyDescent="0.25">
      <c r="A208" s="8" t="s">
        <v>216</v>
      </c>
      <c r="B208" s="1">
        <v>2.39</v>
      </c>
      <c r="C208" s="1">
        <v>17.190000000000001</v>
      </c>
      <c r="D208" s="1">
        <f>Tabelle1[[#This Row],[Gross Sales Price]]/1.18</f>
        <v>14.567796610169493</v>
      </c>
      <c r="E208" s="1">
        <f>Tabelle1[[#This Row],[Gross Sales Price]]*0.12</f>
        <v>2.0628000000000002</v>
      </c>
      <c r="F208" s="1">
        <v>0.4</v>
      </c>
      <c r="G208" s="1">
        <v>3</v>
      </c>
      <c r="H208" s="1">
        <v>2</v>
      </c>
      <c r="I208" s="2">
        <f>Tabelle1[[#This Row],[Base Price]]+Tabelle1[[#This Row],[Total Selling Costs
	]]+Tabelle1[[#This Row],[DHL Costs]]+Tabelle1[[#This Row],[Handling Costs]]+Tabelle1[[#This Row],[Fixed Costs]]</f>
        <v>9.8528000000000002</v>
      </c>
      <c r="J208" s="1">
        <f>Tabelle1[[#This Row],[Net Sales Price]]-Tabelle1[[#This Row],[Variable Costs]]</f>
        <v>4.7149966101694929</v>
      </c>
    </row>
    <row r="209" spans="1:10" ht="14.25" customHeight="1" x14ac:dyDescent="0.25">
      <c r="A209" s="8" t="s">
        <v>217</v>
      </c>
      <c r="B209" s="1">
        <v>10.5</v>
      </c>
      <c r="C209" s="1">
        <v>13.17</v>
      </c>
      <c r="D209" s="1">
        <f>Tabelle1[[#This Row],[Gross Sales Price]]/1.18</f>
        <v>11.161016949152543</v>
      </c>
      <c r="E209" s="1">
        <f>Tabelle1[[#This Row],[Gross Sales Price]]*0.12</f>
        <v>1.5804</v>
      </c>
      <c r="F209" s="1">
        <v>0.4</v>
      </c>
      <c r="G209" s="1">
        <v>3</v>
      </c>
      <c r="H209" s="1">
        <v>2</v>
      </c>
      <c r="I209" s="2">
        <f>Tabelle1[[#This Row],[Base Price]]+Tabelle1[[#This Row],[Total Selling Costs
	]]+Tabelle1[[#This Row],[DHL Costs]]+Tabelle1[[#This Row],[Handling Costs]]+Tabelle1[[#This Row],[Fixed Costs]]</f>
        <v>17.480399999999999</v>
      </c>
      <c r="J209" s="1">
        <f>Tabelle1[[#This Row],[Net Sales Price]]-Tabelle1[[#This Row],[Variable Costs]]</f>
        <v>-6.3193830508474562</v>
      </c>
    </row>
    <row r="210" spans="1:10" ht="14.25" customHeight="1" x14ac:dyDescent="0.25">
      <c r="A210" s="8" t="s">
        <v>218</v>
      </c>
      <c r="B210" s="1">
        <v>15.91</v>
      </c>
      <c r="C210" s="1">
        <v>39.24</v>
      </c>
      <c r="D210" s="1">
        <f>Tabelle1[[#This Row],[Gross Sales Price]]/1.18</f>
        <v>33.254237288135599</v>
      </c>
      <c r="E210" s="1">
        <f>Tabelle1[[#This Row],[Gross Sales Price]]*0.12</f>
        <v>4.7088000000000001</v>
      </c>
      <c r="F210" s="1">
        <v>0.4</v>
      </c>
      <c r="G210" s="1">
        <v>3</v>
      </c>
      <c r="H210" s="1">
        <v>2</v>
      </c>
      <c r="I210" s="2">
        <f>Tabelle1[[#This Row],[Base Price]]+Tabelle1[[#This Row],[Total Selling Costs
	]]+Tabelle1[[#This Row],[DHL Costs]]+Tabelle1[[#This Row],[Handling Costs]]+Tabelle1[[#This Row],[Fixed Costs]]</f>
        <v>26.018799999999999</v>
      </c>
      <c r="J210" s="1">
        <f>Tabelle1[[#This Row],[Net Sales Price]]-Tabelle1[[#This Row],[Variable Costs]]</f>
        <v>7.2354372881355999</v>
      </c>
    </row>
    <row r="211" spans="1:10" ht="14.25" customHeight="1" x14ac:dyDescent="0.25">
      <c r="A211" s="8" t="s">
        <v>219</v>
      </c>
      <c r="B211" s="1">
        <v>10.55</v>
      </c>
      <c r="C211" s="1">
        <v>35.46</v>
      </c>
      <c r="D211" s="1">
        <f>Tabelle1[[#This Row],[Gross Sales Price]]/1.18</f>
        <v>30.050847457627121</v>
      </c>
      <c r="E211" s="1">
        <f>Tabelle1[[#This Row],[Gross Sales Price]]*0.12</f>
        <v>4.2552000000000003</v>
      </c>
      <c r="F211" s="1">
        <v>0.4</v>
      </c>
      <c r="G211" s="1">
        <v>3</v>
      </c>
      <c r="H211" s="1">
        <v>2</v>
      </c>
      <c r="I211" s="2">
        <f>Tabelle1[[#This Row],[Base Price]]+Tabelle1[[#This Row],[Total Selling Costs
	]]+Tabelle1[[#This Row],[DHL Costs]]+Tabelle1[[#This Row],[Handling Costs]]+Tabelle1[[#This Row],[Fixed Costs]]</f>
        <v>20.205199999999998</v>
      </c>
      <c r="J211" s="1">
        <f>Tabelle1[[#This Row],[Net Sales Price]]-Tabelle1[[#This Row],[Variable Costs]]</f>
        <v>9.8456474576271233</v>
      </c>
    </row>
    <row r="212" spans="1:10" ht="14.25" customHeight="1" x14ac:dyDescent="0.25">
      <c r="A212" s="8" t="s">
        <v>220</v>
      </c>
      <c r="B212" s="1">
        <v>19.04</v>
      </c>
      <c r="C212" s="1">
        <v>20.45</v>
      </c>
      <c r="D212" s="1">
        <f>Tabelle1[[#This Row],[Gross Sales Price]]/1.18</f>
        <v>17.33050847457627</v>
      </c>
      <c r="E212" s="1">
        <f>Tabelle1[[#This Row],[Gross Sales Price]]*0.12</f>
        <v>2.4539999999999997</v>
      </c>
      <c r="F212" s="1">
        <v>0.4</v>
      </c>
      <c r="G212" s="1">
        <v>3</v>
      </c>
      <c r="H212" s="1">
        <v>2</v>
      </c>
      <c r="I212" s="2">
        <f>Tabelle1[[#This Row],[Base Price]]+Tabelle1[[#This Row],[Total Selling Costs
	]]+Tabelle1[[#This Row],[DHL Costs]]+Tabelle1[[#This Row],[Handling Costs]]+Tabelle1[[#This Row],[Fixed Costs]]</f>
        <v>26.893999999999998</v>
      </c>
      <c r="J212" s="1">
        <f>Tabelle1[[#This Row],[Net Sales Price]]-Tabelle1[[#This Row],[Variable Costs]]</f>
        <v>-9.5634915254237285</v>
      </c>
    </row>
    <row r="213" spans="1:10" ht="14.25" customHeight="1" x14ac:dyDescent="0.25">
      <c r="A213" s="8" t="s">
        <v>221</v>
      </c>
      <c r="B213" s="1">
        <v>1.33</v>
      </c>
      <c r="C213" s="1">
        <v>13.57</v>
      </c>
      <c r="D213" s="1">
        <f>Tabelle1[[#This Row],[Gross Sales Price]]/1.18</f>
        <v>11.5</v>
      </c>
      <c r="E213" s="1">
        <f>Tabelle1[[#This Row],[Gross Sales Price]]*0.12</f>
        <v>1.6284000000000001</v>
      </c>
      <c r="F213" s="1">
        <v>0.4</v>
      </c>
      <c r="G213" s="1">
        <v>3</v>
      </c>
      <c r="H213" s="1">
        <v>2</v>
      </c>
      <c r="I213" s="2">
        <f>Tabelle1[[#This Row],[Base Price]]+Tabelle1[[#This Row],[Total Selling Costs
	]]+Tabelle1[[#This Row],[DHL Costs]]+Tabelle1[[#This Row],[Handling Costs]]+Tabelle1[[#This Row],[Fixed Costs]]</f>
        <v>8.3583999999999996</v>
      </c>
      <c r="J213" s="1">
        <f>Tabelle1[[#This Row],[Net Sales Price]]-Tabelle1[[#This Row],[Variable Costs]]</f>
        <v>3.1416000000000004</v>
      </c>
    </row>
    <row r="214" spans="1:10" ht="14.25" customHeight="1" x14ac:dyDescent="0.25">
      <c r="A214" s="8" t="s">
        <v>222</v>
      </c>
      <c r="B214" s="1">
        <v>17.16</v>
      </c>
      <c r="C214" s="1">
        <v>28.2</v>
      </c>
      <c r="D214" s="1">
        <f>Tabelle1[[#This Row],[Gross Sales Price]]/1.18</f>
        <v>23.898305084745765</v>
      </c>
      <c r="E214" s="1">
        <f>Tabelle1[[#This Row],[Gross Sales Price]]*0.12</f>
        <v>3.3839999999999999</v>
      </c>
      <c r="F214" s="1">
        <v>0.4</v>
      </c>
      <c r="G214" s="1">
        <v>3</v>
      </c>
      <c r="H214" s="1">
        <v>2</v>
      </c>
      <c r="I214" s="2">
        <f>Tabelle1[[#This Row],[Base Price]]+Tabelle1[[#This Row],[Total Selling Costs
	]]+Tabelle1[[#This Row],[DHL Costs]]+Tabelle1[[#This Row],[Handling Costs]]+Tabelle1[[#This Row],[Fixed Costs]]</f>
        <v>25.943999999999999</v>
      </c>
      <c r="J214" s="1">
        <f>Tabelle1[[#This Row],[Net Sales Price]]-Tabelle1[[#This Row],[Variable Costs]]</f>
        <v>-2.0456949152542343</v>
      </c>
    </row>
    <row r="215" spans="1:10" ht="14.25" customHeight="1" x14ac:dyDescent="0.25">
      <c r="A215" s="8" t="s">
        <v>223</v>
      </c>
      <c r="B215" s="1">
        <v>4.63</v>
      </c>
      <c r="C215" s="1">
        <v>40.130000000000003</v>
      </c>
      <c r="D215" s="1">
        <f>Tabelle1[[#This Row],[Gross Sales Price]]/1.18</f>
        <v>34.00847457627119</v>
      </c>
      <c r="E215" s="1">
        <f>Tabelle1[[#This Row],[Gross Sales Price]]*0.12</f>
        <v>4.8155999999999999</v>
      </c>
      <c r="F215" s="1">
        <v>0.4</v>
      </c>
      <c r="G215" s="1">
        <v>3</v>
      </c>
      <c r="H215" s="1">
        <v>2</v>
      </c>
      <c r="I215" s="2">
        <f>Tabelle1[[#This Row],[Base Price]]+Tabelle1[[#This Row],[Total Selling Costs
	]]+Tabelle1[[#This Row],[DHL Costs]]+Tabelle1[[#This Row],[Handling Costs]]+Tabelle1[[#This Row],[Fixed Costs]]</f>
        <v>14.845599999999999</v>
      </c>
      <c r="J215" s="1">
        <f>Tabelle1[[#This Row],[Net Sales Price]]-Tabelle1[[#This Row],[Variable Costs]]</f>
        <v>19.162874576271193</v>
      </c>
    </row>
    <row r="216" spans="1:10" ht="14.25" customHeight="1" x14ac:dyDescent="0.25">
      <c r="A216" s="8" t="s">
        <v>224</v>
      </c>
      <c r="B216" s="1">
        <v>16.899999999999999</v>
      </c>
      <c r="C216" s="1">
        <v>40.29</v>
      </c>
      <c r="D216" s="1">
        <f>Tabelle1[[#This Row],[Gross Sales Price]]/1.18</f>
        <v>34.144067796610173</v>
      </c>
      <c r="E216" s="1">
        <f>Tabelle1[[#This Row],[Gross Sales Price]]*0.12</f>
        <v>4.8347999999999995</v>
      </c>
      <c r="F216" s="1">
        <v>0.4</v>
      </c>
      <c r="G216" s="1">
        <v>3</v>
      </c>
      <c r="H216" s="1">
        <v>2</v>
      </c>
      <c r="I216" s="2">
        <f>Tabelle1[[#This Row],[Base Price]]+Tabelle1[[#This Row],[Total Selling Costs
	]]+Tabelle1[[#This Row],[DHL Costs]]+Tabelle1[[#This Row],[Handling Costs]]+Tabelle1[[#This Row],[Fixed Costs]]</f>
        <v>27.134799999999998</v>
      </c>
      <c r="J216" s="1">
        <f>Tabelle1[[#This Row],[Net Sales Price]]-Tabelle1[[#This Row],[Variable Costs]]</f>
        <v>7.0092677966101746</v>
      </c>
    </row>
    <row r="217" spans="1:10" ht="14.25" customHeight="1" x14ac:dyDescent="0.25">
      <c r="A217" s="8" t="s">
        <v>225</v>
      </c>
      <c r="B217" s="1">
        <v>6.14</v>
      </c>
      <c r="C217" s="1">
        <v>8.49</v>
      </c>
      <c r="D217" s="1">
        <f>Tabelle1[[#This Row],[Gross Sales Price]]/1.18</f>
        <v>7.1949152542372889</v>
      </c>
      <c r="E217" s="1">
        <f>Tabelle1[[#This Row],[Gross Sales Price]]*0.12</f>
        <v>1.0187999999999999</v>
      </c>
      <c r="F217" s="1">
        <v>0.4</v>
      </c>
      <c r="G217" s="1">
        <v>3</v>
      </c>
      <c r="H217" s="1">
        <v>2</v>
      </c>
      <c r="I217" s="2">
        <f>Tabelle1[[#This Row],[Base Price]]+Tabelle1[[#This Row],[Total Selling Costs
	]]+Tabelle1[[#This Row],[DHL Costs]]+Tabelle1[[#This Row],[Handling Costs]]+Tabelle1[[#This Row],[Fixed Costs]]</f>
        <v>12.5588</v>
      </c>
      <c r="J217" s="1">
        <f>Tabelle1[[#This Row],[Net Sales Price]]-Tabelle1[[#This Row],[Variable Costs]]</f>
        <v>-5.3638847457627108</v>
      </c>
    </row>
    <row r="218" spans="1:10" ht="14.25" customHeight="1" x14ac:dyDescent="0.25">
      <c r="A218" s="8" t="s">
        <v>226</v>
      </c>
      <c r="B218" s="1">
        <v>18.47</v>
      </c>
      <c r="C218" s="1">
        <v>14.01</v>
      </c>
      <c r="D218" s="1">
        <f>Tabelle1[[#This Row],[Gross Sales Price]]/1.18</f>
        <v>11.872881355932204</v>
      </c>
      <c r="E218" s="1">
        <f>Tabelle1[[#This Row],[Gross Sales Price]]*0.12</f>
        <v>1.6811999999999998</v>
      </c>
      <c r="F218" s="1">
        <v>0.4</v>
      </c>
      <c r="G218" s="1">
        <v>3</v>
      </c>
      <c r="H218" s="1">
        <v>2</v>
      </c>
      <c r="I218" s="2">
        <f>Tabelle1[[#This Row],[Base Price]]+Tabelle1[[#This Row],[Total Selling Costs
	]]+Tabelle1[[#This Row],[DHL Costs]]+Tabelle1[[#This Row],[Handling Costs]]+Tabelle1[[#This Row],[Fixed Costs]]</f>
        <v>25.551199999999998</v>
      </c>
      <c r="J218" s="1">
        <f>Tabelle1[[#This Row],[Net Sales Price]]-Tabelle1[[#This Row],[Variable Costs]]</f>
        <v>-13.678318644067794</v>
      </c>
    </row>
    <row r="219" spans="1:10" ht="14.25" customHeight="1" x14ac:dyDescent="0.25">
      <c r="A219" s="8" t="s">
        <v>227</v>
      </c>
      <c r="B219" s="1">
        <v>7.3</v>
      </c>
      <c r="C219" s="1">
        <v>27.82</v>
      </c>
      <c r="D219" s="1">
        <f>Tabelle1[[#This Row],[Gross Sales Price]]/1.18</f>
        <v>23.576271186440678</v>
      </c>
      <c r="E219" s="1">
        <f>Tabelle1[[#This Row],[Gross Sales Price]]*0.12</f>
        <v>3.3384</v>
      </c>
      <c r="F219" s="1">
        <v>0.4</v>
      </c>
      <c r="G219" s="1">
        <v>3</v>
      </c>
      <c r="H219" s="1">
        <v>2</v>
      </c>
      <c r="I219" s="2">
        <f>Tabelle1[[#This Row],[Base Price]]+Tabelle1[[#This Row],[Total Selling Costs
	]]+Tabelle1[[#This Row],[DHL Costs]]+Tabelle1[[#This Row],[Handling Costs]]+Tabelle1[[#This Row],[Fixed Costs]]</f>
        <v>16.038399999999999</v>
      </c>
      <c r="J219" s="1">
        <f>Tabelle1[[#This Row],[Net Sales Price]]-Tabelle1[[#This Row],[Variable Costs]]</f>
        <v>7.5378711864406789</v>
      </c>
    </row>
    <row r="220" spans="1:10" ht="14.25" customHeight="1" x14ac:dyDescent="0.25">
      <c r="A220" s="8" t="s">
        <v>228</v>
      </c>
      <c r="B220" s="1">
        <v>7.78</v>
      </c>
      <c r="C220" s="1">
        <v>13.17</v>
      </c>
      <c r="D220" s="1">
        <f>Tabelle1[[#This Row],[Gross Sales Price]]/1.18</f>
        <v>11.161016949152543</v>
      </c>
      <c r="E220" s="1">
        <f>Tabelle1[[#This Row],[Gross Sales Price]]*0.12</f>
        <v>1.5804</v>
      </c>
      <c r="F220" s="1">
        <v>0.4</v>
      </c>
      <c r="G220" s="1">
        <v>3</v>
      </c>
      <c r="H220" s="1">
        <v>2</v>
      </c>
      <c r="I220" s="2">
        <f>Tabelle1[[#This Row],[Base Price]]+Tabelle1[[#This Row],[Total Selling Costs
	]]+Tabelle1[[#This Row],[DHL Costs]]+Tabelle1[[#This Row],[Handling Costs]]+Tabelle1[[#This Row],[Fixed Costs]]</f>
        <v>14.760400000000001</v>
      </c>
      <c r="J220" s="1">
        <f>Tabelle1[[#This Row],[Net Sales Price]]-Tabelle1[[#This Row],[Variable Costs]]</f>
        <v>-3.5993830508474574</v>
      </c>
    </row>
    <row r="221" spans="1:10" ht="14.25" customHeight="1" x14ac:dyDescent="0.25">
      <c r="A221" s="8" t="s">
        <v>229</v>
      </c>
      <c r="B221">
        <v>4.8099999999999996</v>
      </c>
      <c r="C221" s="1">
        <v>31.17</v>
      </c>
      <c r="D221" s="1">
        <f>Tabelle1[[#This Row],[Gross Sales Price]]/1.18</f>
        <v>26.415254237288138</v>
      </c>
      <c r="E221" s="1">
        <f>Tabelle1[[#This Row],[Gross Sales Price]]*0.12</f>
        <v>3.7404000000000002</v>
      </c>
      <c r="F221" s="1">
        <v>0.4</v>
      </c>
      <c r="G221" s="1">
        <v>3</v>
      </c>
      <c r="H221" s="1">
        <v>2</v>
      </c>
      <c r="I221" s="2">
        <f>Tabelle1[[#This Row],[Base Price]]+Tabelle1[[#This Row],[Total Selling Costs
	]]+Tabelle1[[#This Row],[DHL Costs]]+Tabelle1[[#This Row],[Handling Costs]]+Tabelle1[[#This Row],[Fixed Costs]]</f>
        <v>13.9504</v>
      </c>
      <c r="J221" s="1">
        <f>Tabelle1[[#This Row],[Net Sales Price]]-Tabelle1[[#This Row],[Variable Costs]]</f>
        <v>12.464854237288138</v>
      </c>
    </row>
    <row r="222" spans="1:10" ht="14.25" customHeight="1" x14ac:dyDescent="0.25">
      <c r="A222" s="8" t="s">
        <v>230</v>
      </c>
      <c r="B222">
        <v>7.49</v>
      </c>
      <c r="C222" s="1">
        <v>37.630000000000003</v>
      </c>
      <c r="D222" s="1">
        <f>Tabelle1[[#This Row],[Gross Sales Price]]/1.18</f>
        <v>31.889830508474581</v>
      </c>
      <c r="E222" s="1">
        <f>Tabelle1[[#This Row],[Gross Sales Price]]*0.12</f>
        <v>4.5156000000000001</v>
      </c>
      <c r="F222" s="1">
        <v>0.4</v>
      </c>
      <c r="G222" s="1">
        <v>3</v>
      </c>
      <c r="H222" s="1">
        <v>2</v>
      </c>
      <c r="I222" s="2">
        <f>Tabelle1[[#This Row],[Base Price]]+Tabelle1[[#This Row],[Total Selling Costs
	]]+Tabelle1[[#This Row],[DHL Costs]]+Tabelle1[[#This Row],[Handling Costs]]+Tabelle1[[#This Row],[Fixed Costs]]</f>
        <v>17.4056</v>
      </c>
      <c r="J222" s="1">
        <f>Tabelle1[[#This Row],[Net Sales Price]]-Tabelle1[[#This Row],[Variable Costs]]</f>
        <v>14.484230508474582</v>
      </c>
    </row>
    <row r="223" spans="1:10" ht="14.25" customHeight="1" x14ac:dyDescent="0.25">
      <c r="A223" s="8" t="s">
        <v>231</v>
      </c>
      <c r="B223">
        <v>1.1599999999999999</v>
      </c>
      <c r="C223" s="1">
        <v>18.75</v>
      </c>
      <c r="D223" s="1">
        <f>Tabelle1[[#This Row],[Gross Sales Price]]/1.18</f>
        <v>15.889830508474578</v>
      </c>
      <c r="E223" s="1">
        <f>Tabelle1[[#This Row],[Gross Sales Price]]*0.12</f>
        <v>2.25</v>
      </c>
      <c r="F223" s="1">
        <v>0.4</v>
      </c>
      <c r="G223" s="1">
        <v>3</v>
      </c>
      <c r="H223" s="1">
        <v>2</v>
      </c>
      <c r="I223" s="2">
        <f>Tabelle1[[#This Row],[Base Price]]+Tabelle1[[#This Row],[Total Selling Costs
	]]+Tabelle1[[#This Row],[DHL Costs]]+Tabelle1[[#This Row],[Handling Costs]]+Tabelle1[[#This Row],[Fixed Costs]]</f>
        <v>8.81</v>
      </c>
      <c r="J223" s="1">
        <f>Tabelle1[[#This Row],[Net Sales Price]]-Tabelle1[[#This Row],[Variable Costs]]</f>
        <v>7.0798305084745774</v>
      </c>
    </row>
    <row r="224" spans="1:10" ht="14.25" customHeight="1" x14ac:dyDescent="0.25">
      <c r="A224" s="8" t="s">
        <v>232</v>
      </c>
      <c r="B224">
        <v>3.38</v>
      </c>
      <c r="C224" s="1">
        <v>35.29</v>
      </c>
      <c r="D224" s="1">
        <f>Tabelle1[[#This Row],[Gross Sales Price]]/1.18</f>
        <v>29.906779661016952</v>
      </c>
      <c r="E224" s="1">
        <f>Tabelle1[[#This Row],[Gross Sales Price]]*0.12</f>
        <v>4.2347999999999999</v>
      </c>
      <c r="F224" s="1">
        <v>0.4</v>
      </c>
      <c r="G224" s="1">
        <v>3</v>
      </c>
      <c r="H224" s="1">
        <v>2</v>
      </c>
      <c r="I224" s="2">
        <f>Tabelle1[[#This Row],[Base Price]]+Tabelle1[[#This Row],[Total Selling Costs
	]]+Tabelle1[[#This Row],[DHL Costs]]+Tabelle1[[#This Row],[Handling Costs]]+Tabelle1[[#This Row],[Fixed Costs]]</f>
        <v>13.014799999999999</v>
      </c>
      <c r="J224" s="1">
        <f>Tabelle1[[#This Row],[Net Sales Price]]-Tabelle1[[#This Row],[Variable Costs]]</f>
        <v>16.891979661016954</v>
      </c>
    </row>
    <row r="225" spans="1:10" ht="14.25" customHeight="1" x14ac:dyDescent="0.25">
      <c r="A225" s="8" t="s">
        <v>233</v>
      </c>
      <c r="B225">
        <v>13.88</v>
      </c>
      <c r="C225" s="1">
        <v>18.350000000000001</v>
      </c>
      <c r="D225" s="1">
        <f>Tabelle1[[#This Row],[Gross Sales Price]]/1.18</f>
        <v>15.550847457627121</v>
      </c>
      <c r="E225" s="1">
        <f>Tabelle1[[#This Row],[Gross Sales Price]]*0.12</f>
        <v>2.202</v>
      </c>
      <c r="F225" s="1">
        <v>0.4</v>
      </c>
      <c r="G225" s="1">
        <v>3</v>
      </c>
      <c r="H225" s="1">
        <v>2</v>
      </c>
      <c r="I225" s="2">
        <f>Tabelle1[[#This Row],[Base Price]]+Tabelle1[[#This Row],[Total Selling Costs
	]]+Tabelle1[[#This Row],[DHL Costs]]+Tabelle1[[#This Row],[Handling Costs]]+Tabelle1[[#This Row],[Fixed Costs]]</f>
        <v>21.481999999999999</v>
      </c>
      <c r="J225" s="1">
        <f>Tabelle1[[#This Row],[Net Sales Price]]-Tabelle1[[#This Row],[Variable Costs]]</f>
        <v>-5.9311525423728781</v>
      </c>
    </row>
    <row r="226" spans="1:10" ht="14.25" customHeight="1" x14ac:dyDescent="0.25">
      <c r="A226" s="8" t="s">
        <v>234</v>
      </c>
      <c r="B226">
        <v>8.66</v>
      </c>
      <c r="C226" s="1">
        <v>27.76</v>
      </c>
      <c r="D226" s="1">
        <f>Tabelle1[[#This Row],[Gross Sales Price]]/1.18</f>
        <v>23.525423728813561</v>
      </c>
      <c r="E226" s="1">
        <f>Tabelle1[[#This Row],[Gross Sales Price]]*0.12</f>
        <v>3.3311999999999999</v>
      </c>
      <c r="F226" s="1">
        <v>0.4</v>
      </c>
      <c r="G226" s="1">
        <v>3</v>
      </c>
      <c r="H226" s="1">
        <v>2</v>
      </c>
      <c r="I226" s="2">
        <f>Tabelle1[[#This Row],[Base Price]]+Tabelle1[[#This Row],[Total Selling Costs
	]]+Tabelle1[[#This Row],[DHL Costs]]+Tabelle1[[#This Row],[Handling Costs]]+Tabelle1[[#This Row],[Fixed Costs]]</f>
        <v>17.391199999999998</v>
      </c>
      <c r="J226" s="1">
        <f>Tabelle1[[#This Row],[Net Sales Price]]-Tabelle1[[#This Row],[Variable Costs]]</f>
        <v>6.1342237288135628</v>
      </c>
    </row>
    <row r="227" spans="1:10" ht="14.25" customHeight="1" x14ac:dyDescent="0.25">
      <c r="A227" s="8" t="s">
        <v>235</v>
      </c>
      <c r="B227">
        <v>13.29</v>
      </c>
      <c r="C227" s="1">
        <v>32.049999999999997</v>
      </c>
      <c r="D227" s="1">
        <f>Tabelle1[[#This Row],[Gross Sales Price]]/1.18</f>
        <v>27.16101694915254</v>
      </c>
      <c r="E227" s="1">
        <f>Tabelle1[[#This Row],[Gross Sales Price]]*0.12</f>
        <v>3.8459999999999996</v>
      </c>
      <c r="F227" s="1">
        <v>0.4</v>
      </c>
      <c r="G227" s="1">
        <v>3</v>
      </c>
      <c r="H227" s="1">
        <v>2</v>
      </c>
      <c r="I227" s="2">
        <f>Tabelle1[[#This Row],[Base Price]]+Tabelle1[[#This Row],[Total Selling Costs
	]]+Tabelle1[[#This Row],[DHL Costs]]+Tabelle1[[#This Row],[Handling Costs]]+Tabelle1[[#This Row],[Fixed Costs]]</f>
        <v>22.535999999999998</v>
      </c>
      <c r="J227" s="1">
        <f>Tabelle1[[#This Row],[Net Sales Price]]-Tabelle1[[#This Row],[Variable Costs]]</f>
        <v>4.6250169491525419</v>
      </c>
    </row>
    <row r="228" spans="1:10" ht="14.25" customHeight="1" x14ac:dyDescent="0.25">
      <c r="A228" s="8" t="s">
        <v>236</v>
      </c>
      <c r="B228">
        <v>1.7</v>
      </c>
      <c r="C228" s="1">
        <v>6.23</v>
      </c>
      <c r="D228" s="1">
        <f>Tabelle1[[#This Row],[Gross Sales Price]]/1.18</f>
        <v>5.2796610169491531</v>
      </c>
      <c r="E228" s="1">
        <f>Tabelle1[[#This Row],[Gross Sales Price]]*0.12</f>
        <v>0.74760000000000004</v>
      </c>
      <c r="F228" s="1">
        <v>0.4</v>
      </c>
      <c r="G228" s="1">
        <v>3</v>
      </c>
      <c r="H228" s="1">
        <v>2</v>
      </c>
      <c r="I228" s="2">
        <f>Tabelle1[[#This Row],[Base Price]]+Tabelle1[[#This Row],[Total Selling Costs
	]]+Tabelle1[[#This Row],[DHL Costs]]+Tabelle1[[#This Row],[Handling Costs]]+Tabelle1[[#This Row],[Fixed Costs]]</f>
        <v>7.8475999999999999</v>
      </c>
      <c r="J228" s="1">
        <f>Tabelle1[[#This Row],[Net Sales Price]]-Tabelle1[[#This Row],[Variable Costs]]</f>
        <v>-2.5679389830508468</v>
      </c>
    </row>
    <row r="229" spans="1:10" ht="14.25" customHeight="1" x14ac:dyDescent="0.25">
      <c r="A229" s="8" t="s">
        <v>237</v>
      </c>
      <c r="B229">
        <v>5.18</v>
      </c>
      <c r="C229" s="1">
        <v>21.27</v>
      </c>
      <c r="D229" s="1">
        <f>Tabelle1[[#This Row],[Gross Sales Price]]/1.18</f>
        <v>18.025423728813561</v>
      </c>
      <c r="E229" s="1">
        <f>Tabelle1[[#This Row],[Gross Sales Price]]*0.12</f>
        <v>2.5524</v>
      </c>
      <c r="F229" s="1">
        <v>0.4</v>
      </c>
      <c r="G229" s="1">
        <v>3</v>
      </c>
      <c r="H229" s="1">
        <v>2</v>
      </c>
      <c r="I229" s="2">
        <f>Tabelle1[[#This Row],[Base Price]]+Tabelle1[[#This Row],[Total Selling Costs
	]]+Tabelle1[[#This Row],[DHL Costs]]+Tabelle1[[#This Row],[Handling Costs]]+Tabelle1[[#This Row],[Fixed Costs]]</f>
        <v>13.132400000000001</v>
      </c>
      <c r="J229" s="1">
        <f>Tabelle1[[#This Row],[Net Sales Price]]-Tabelle1[[#This Row],[Variable Costs]]</f>
        <v>4.8930237288135601</v>
      </c>
    </row>
    <row r="230" spans="1:10" ht="14.25" customHeight="1" x14ac:dyDescent="0.25">
      <c r="A230" s="8" t="s">
        <v>238</v>
      </c>
      <c r="B230">
        <v>5.13</v>
      </c>
      <c r="C230" s="1">
        <v>3.18</v>
      </c>
      <c r="D230" s="1">
        <f>Tabelle1[[#This Row],[Gross Sales Price]]/1.18</f>
        <v>2.6949152542372885</v>
      </c>
      <c r="E230" s="1">
        <f>Tabelle1[[#This Row],[Gross Sales Price]]*0.12</f>
        <v>0.38159999999999999</v>
      </c>
      <c r="F230" s="1">
        <v>0.4</v>
      </c>
      <c r="G230" s="1">
        <v>3</v>
      </c>
      <c r="H230" s="1">
        <v>2</v>
      </c>
      <c r="I230" s="2">
        <f>Tabelle1[[#This Row],[Base Price]]+Tabelle1[[#This Row],[Total Selling Costs
	]]+Tabelle1[[#This Row],[DHL Costs]]+Tabelle1[[#This Row],[Handling Costs]]+Tabelle1[[#This Row],[Fixed Costs]]</f>
        <v>10.9116</v>
      </c>
      <c r="J230" s="1">
        <f>Tabelle1[[#This Row],[Net Sales Price]]-Tabelle1[[#This Row],[Variable Costs]]</f>
        <v>-8.216684745762711</v>
      </c>
    </row>
    <row r="231" spans="1:10" ht="14.25" customHeight="1" x14ac:dyDescent="0.25">
      <c r="A231" s="8" t="s">
        <v>239</v>
      </c>
      <c r="B231">
        <v>12.19</v>
      </c>
      <c r="C231" s="1">
        <v>14.43</v>
      </c>
      <c r="D231" s="1">
        <f>Tabelle1[[#This Row],[Gross Sales Price]]/1.18</f>
        <v>12.228813559322035</v>
      </c>
      <c r="E231" s="1">
        <f>Tabelle1[[#This Row],[Gross Sales Price]]*0.12</f>
        <v>1.7315999999999998</v>
      </c>
      <c r="F231" s="1">
        <v>0.4</v>
      </c>
      <c r="G231" s="1">
        <v>3</v>
      </c>
      <c r="H231" s="1">
        <v>2</v>
      </c>
      <c r="I231" s="2">
        <f>Tabelle1[[#This Row],[Base Price]]+Tabelle1[[#This Row],[Total Selling Costs
	]]+Tabelle1[[#This Row],[DHL Costs]]+Tabelle1[[#This Row],[Handling Costs]]+Tabelle1[[#This Row],[Fixed Costs]]</f>
        <v>19.321599999999997</v>
      </c>
      <c r="J231" s="1">
        <f>Tabelle1[[#This Row],[Net Sales Price]]-Tabelle1[[#This Row],[Variable Costs]]</f>
        <v>-7.0927864406779619</v>
      </c>
    </row>
    <row r="232" spans="1:10" ht="14.25" customHeight="1" x14ac:dyDescent="0.25">
      <c r="A232" s="8" t="s">
        <v>240</v>
      </c>
      <c r="B232">
        <v>17.8</v>
      </c>
      <c r="C232" s="1">
        <v>35.950000000000003</v>
      </c>
      <c r="D232" s="1">
        <f>Tabelle1[[#This Row],[Gross Sales Price]]/1.18</f>
        <v>30.46610169491526</v>
      </c>
      <c r="E232" s="1">
        <f>Tabelle1[[#This Row],[Gross Sales Price]]*0.12</f>
        <v>4.3140000000000001</v>
      </c>
      <c r="F232" s="1">
        <v>0.4</v>
      </c>
      <c r="G232" s="1">
        <v>3</v>
      </c>
      <c r="H232" s="1">
        <v>2</v>
      </c>
      <c r="I232" s="2">
        <f>Tabelle1[[#This Row],[Base Price]]+Tabelle1[[#This Row],[Total Selling Costs
	]]+Tabelle1[[#This Row],[DHL Costs]]+Tabelle1[[#This Row],[Handling Costs]]+Tabelle1[[#This Row],[Fixed Costs]]</f>
        <v>27.513999999999999</v>
      </c>
      <c r="J232" s="1">
        <f>Tabelle1[[#This Row],[Net Sales Price]]-Tabelle1[[#This Row],[Variable Costs]]</f>
        <v>2.9521016949152603</v>
      </c>
    </row>
    <row r="233" spans="1:10" ht="14.25" customHeight="1" x14ac:dyDescent="0.25">
      <c r="A233" s="8" t="s">
        <v>241</v>
      </c>
      <c r="B233">
        <v>4.1100000000000003</v>
      </c>
      <c r="C233" s="1">
        <v>2.77</v>
      </c>
      <c r="D233" s="1">
        <f>Tabelle1[[#This Row],[Gross Sales Price]]/1.18</f>
        <v>2.347457627118644</v>
      </c>
      <c r="E233" s="1">
        <f>Tabelle1[[#This Row],[Gross Sales Price]]*0.12</f>
        <v>0.33239999999999997</v>
      </c>
      <c r="F233" s="1">
        <v>0.4</v>
      </c>
      <c r="G233" s="1">
        <v>3</v>
      </c>
      <c r="H233" s="1">
        <v>2</v>
      </c>
      <c r="I233" s="2">
        <f>Tabelle1[[#This Row],[Base Price]]+Tabelle1[[#This Row],[Total Selling Costs
	]]+Tabelle1[[#This Row],[DHL Costs]]+Tabelle1[[#This Row],[Handling Costs]]+Tabelle1[[#This Row],[Fixed Costs]]</f>
        <v>9.8423999999999996</v>
      </c>
      <c r="J233" s="1">
        <f>Tabelle1[[#This Row],[Net Sales Price]]-Tabelle1[[#This Row],[Variable Costs]]</f>
        <v>-7.494942372881356</v>
      </c>
    </row>
    <row r="234" spans="1:10" ht="14.25" customHeight="1" x14ac:dyDescent="0.25">
      <c r="A234" s="8" t="s">
        <v>242</v>
      </c>
      <c r="B234">
        <v>2.2400000000000002</v>
      </c>
      <c r="C234" s="1">
        <v>6.63</v>
      </c>
      <c r="D234" s="1">
        <f>Tabelle1[[#This Row],[Gross Sales Price]]/1.18</f>
        <v>5.6186440677966107</v>
      </c>
      <c r="E234" s="1">
        <f>Tabelle1[[#This Row],[Gross Sales Price]]*0.12</f>
        <v>0.79559999999999997</v>
      </c>
      <c r="F234" s="1">
        <v>0.4</v>
      </c>
      <c r="G234" s="1">
        <v>3</v>
      </c>
      <c r="H234" s="1">
        <v>2</v>
      </c>
      <c r="I234" s="2">
        <f>Tabelle1[[#This Row],[Base Price]]+Tabelle1[[#This Row],[Total Selling Costs
	]]+Tabelle1[[#This Row],[DHL Costs]]+Tabelle1[[#This Row],[Handling Costs]]+Tabelle1[[#This Row],[Fixed Costs]]</f>
        <v>8.4356000000000009</v>
      </c>
      <c r="J234" s="1">
        <f>Tabelle1[[#This Row],[Net Sales Price]]-Tabelle1[[#This Row],[Variable Costs]]</f>
        <v>-2.8169559322033901</v>
      </c>
    </row>
    <row r="235" spans="1:10" ht="14.25" customHeight="1" x14ac:dyDescent="0.25">
      <c r="A235" s="8" t="s">
        <v>243</v>
      </c>
      <c r="B235">
        <v>9.6</v>
      </c>
      <c r="C235" s="1">
        <v>21.6</v>
      </c>
      <c r="D235" s="1">
        <f>Tabelle1[[#This Row],[Gross Sales Price]]/1.18</f>
        <v>18.305084745762713</v>
      </c>
      <c r="E235" s="1">
        <f>Tabelle1[[#This Row],[Gross Sales Price]]*0.12</f>
        <v>2.5920000000000001</v>
      </c>
      <c r="F235" s="1">
        <v>0.4</v>
      </c>
      <c r="G235" s="1">
        <v>3</v>
      </c>
      <c r="H235" s="1">
        <v>2</v>
      </c>
      <c r="I235" s="2">
        <f>Tabelle1[[#This Row],[Base Price]]+Tabelle1[[#This Row],[Total Selling Costs
	]]+Tabelle1[[#This Row],[DHL Costs]]+Tabelle1[[#This Row],[Handling Costs]]+Tabelle1[[#This Row],[Fixed Costs]]</f>
        <v>17.591999999999999</v>
      </c>
      <c r="J235" s="1">
        <f>Tabelle1[[#This Row],[Net Sales Price]]-Tabelle1[[#This Row],[Variable Costs]]</f>
        <v>0.71308474576271408</v>
      </c>
    </row>
    <row r="236" spans="1:10" ht="14.25" customHeight="1" x14ac:dyDescent="0.25">
      <c r="A236" s="8" t="s">
        <v>244</v>
      </c>
      <c r="B236">
        <v>11.33</v>
      </c>
      <c r="C236" s="1">
        <v>34.75</v>
      </c>
      <c r="D236" s="1">
        <f>Tabelle1[[#This Row],[Gross Sales Price]]/1.18</f>
        <v>29.449152542372882</v>
      </c>
      <c r="E236" s="1">
        <f>Tabelle1[[#This Row],[Gross Sales Price]]*0.12</f>
        <v>4.17</v>
      </c>
      <c r="F236" s="1">
        <v>0.4</v>
      </c>
      <c r="G236" s="1">
        <v>3</v>
      </c>
      <c r="H236" s="1">
        <v>2</v>
      </c>
      <c r="I236" s="2">
        <f>Tabelle1[[#This Row],[Base Price]]+Tabelle1[[#This Row],[Total Selling Costs
	]]+Tabelle1[[#This Row],[DHL Costs]]+Tabelle1[[#This Row],[Handling Costs]]+Tabelle1[[#This Row],[Fixed Costs]]</f>
        <v>20.9</v>
      </c>
      <c r="J236" s="1">
        <f>Tabelle1[[#This Row],[Net Sales Price]]-Tabelle1[[#This Row],[Variable Costs]]</f>
        <v>8.5491525423728838</v>
      </c>
    </row>
    <row r="237" spans="1:10" ht="14.25" customHeight="1" x14ac:dyDescent="0.25">
      <c r="A237" s="8" t="s">
        <v>245</v>
      </c>
      <c r="B237">
        <v>11.13</v>
      </c>
      <c r="C237" s="1">
        <v>11.15</v>
      </c>
      <c r="D237" s="1">
        <f>Tabelle1[[#This Row],[Gross Sales Price]]/1.18</f>
        <v>9.4491525423728824</v>
      </c>
      <c r="E237" s="1">
        <f>Tabelle1[[#This Row],[Gross Sales Price]]*0.12</f>
        <v>1.3380000000000001</v>
      </c>
      <c r="F237" s="1">
        <v>0.4</v>
      </c>
      <c r="G237" s="1">
        <v>3</v>
      </c>
      <c r="H237" s="1">
        <v>2</v>
      </c>
      <c r="I237" s="2">
        <f>Tabelle1[[#This Row],[Base Price]]+Tabelle1[[#This Row],[Total Selling Costs
	]]+Tabelle1[[#This Row],[DHL Costs]]+Tabelle1[[#This Row],[Handling Costs]]+Tabelle1[[#This Row],[Fixed Costs]]</f>
        <v>17.867999999999999</v>
      </c>
      <c r="J237" s="1">
        <f>Tabelle1[[#This Row],[Net Sales Price]]-Tabelle1[[#This Row],[Variable Costs]]</f>
        <v>-8.4188474576271162</v>
      </c>
    </row>
    <row r="238" spans="1:10" ht="14.25" customHeight="1" x14ac:dyDescent="0.25">
      <c r="A238" s="8" t="s">
        <v>246</v>
      </c>
      <c r="B238">
        <v>17.93</v>
      </c>
      <c r="C238" s="1">
        <v>2.17</v>
      </c>
      <c r="D238" s="1">
        <f>Tabelle1[[#This Row],[Gross Sales Price]]/1.18</f>
        <v>1.8389830508474576</v>
      </c>
      <c r="E238" s="1">
        <f>Tabelle1[[#This Row],[Gross Sales Price]]*0.12</f>
        <v>0.26039999999999996</v>
      </c>
      <c r="F238" s="1">
        <v>0.4</v>
      </c>
      <c r="G238" s="1">
        <v>3</v>
      </c>
      <c r="H238" s="1">
        <v>2</v>
      </c>
      <c r="I238" s="2">
        <f>Tabelle1[[#This Row],[Base Price]]+Tabelle1[[#This Row],[Total Selling Costs
	]]+Tabelle1[[#This Row],[DHL Costs]]+Tabelle1[[#This Row],[Handling Costs]]+Tabelle1[[#This Row],[Fixed Costs]]</f>
        <v>23.590399999999999</v>
      </c>
      <c r="J238" s="1">
        <f>Tabelle1[[#This Row],[Net Sales Price]]-Tabelle1[[#This Row],[Variable Costs]]</f>
        <v>-21.751416949152542</v>
      </c>
    </row>
    <row r="239" spans="1:10" ht="14.25" customHeight="1" x14ac:dyDescent="0.25">
      <c r="A239" s="8" t="s">
        <v>247</v>
      </c>
      <c r="B239">
        <v>19.07</v>
      </c>
      <c r="C239" s="1">
        <v>24.77</v>
      </c>
      <c r="D239" s="1">
        <f>Tabelle1[[#This Row],[Gross Sales Price]]/1.18</f>
        <v>20.991525423728813</v>
      </c>
      <c r="E239" s="1">
        <f>Tabelle1[[#This Row],[Gross Sales Price]]*0.12</f>
        <v>2.9723999999999999</v>
      </c>
      <c r="F239" s="1">
        <v>0.4</v>
      </c>
      <c r="G239" s="1">
        <v>3</v>
      </c>
      <c r="H239" s="1">
        <v>2</v>
      </c>
      <c r="I239" s="2">
        <f>Tabelle1[[#This Row],[Base Price]]+Tabelle1[[#This Row],[Total Selling Costs
	]]+Tabelle1[[#This Row],[DHL Costs]]+Tabelle1[[#This Row],[Handling Costs]]+Tabelle1[[#This Row],[Fixed Costs]]</f>
        <v>27.442399999999999</v>
      </c>
      <c r="J239" s="1">
        <f>Tabelle1[[#This Row],[Net Sales Price]]-Tabelle1[[#This Row],[Variable Costs]]</f>
        <v>-6.4508745762711861</v>
      </c>
    </row>
    <row r="240" spans="1:10" ht="14.25" customHeight="1" x14ac:dyDescent="0.25">
      <c r="A240" s="8" t="s">
        <v>248</v>
      </c>
      <c r="B240">
        <v>15.03</v>
      </c>
      <c r="C240" s="1">
        <v>3.27</v>
      </c>
      <c r="D240" s="1">
        <f>Tabelle1[[#This Row],[Gross Sales Price]]/1.18</f>
        <v>2.7711864406779663</v>
      </c>
      <c r="E240" s="1">
        <f>Tabelle1[[#This Row],[Gross Sales Price]]*0.12</f>
        <v>0.39239999999999997</v>
      </c>
      <c r="F240" s="1">
        <v>0.4</v>
      </c>
      <c r="G240" s="1">
        <v>3</v>
      </c>
      <c r="H240" s="1">
        <v>2</v>
      </c>
      <c r="I240" s="2">
        <f>Tabelle1[[#This Row],[Base Price]]+Tabelle1[[#This Row],[Total Selling Costs
	]]+Tabelle1[[#This Row],[DHL Costs]]+Tabelle1[[#This Row],[Handling Costs]]+Tabelle1[[#This Row],[Fixed Costs]]</f>
        <v>20.822399999999998</v>
      </c>
      <c r="J240" s="1">
        <f>Tabelle1[[#This Row],[Net Sales Price]]-Tabelle1[[#This Row],[Variable Costs]]</f>
        <v>-18.051213559322033</v>
      </c>
    </row>
    <row r="241" spans="1:10" ht="14.25" customHeight="1" x14ac:dyDescent="0.25">
      <c r="A241" s="8" t="s">
        <v>249</v>
      </c>
      <c r="B241">
        <v>11.32</v>
      </c>
      <c r="C241" s="1">
        <v>26.34</v>
      </c>
      <c r="D241" s="1">
        <f>Tabelle1[[#This Row],[Gross Sales Price]]/1.18</f>
        <v>22.322033898305087</v>
      </c>
      <c r="E241" s="1">
        <f>Tabelle1[[#This Row],[Gross Sales Price]]*0.12</f>
        <v>3.1608000000000001</v>
      </c>
      <c r="F241" s="1">
        <v>0.4</v>
      </c>
      <c r="G241" s="1">
        <v>3</v>
      </c>
      <c r="H241" s="1">
        <v>2</v>
      </c>
      <c r="I241" s="2">
        <f>Tabelle1[[#This Row],[Base Price]]+Tabelle1[[#This Row],[Total Selling Costs
	]]+Tabelle1[[#This Row],[DHL Costs]]+Tabelle1[[#This Row],[Handling Costs]]+Tabelle1[[#This Row],[Fixed Costs]]</f>
        <v>19.880800000000001</v>
      </c>
      <c r="J241" s="1">
        <f>Tabelle1[[#This Row],[Net Sales Price]]-Tabelle1[[#This Row],[Variable Costs]]</f>
        <v>2.4412338983050859</v>
      </c>
    </row>
    <row r="242" spans="1:10" ht="14.25" customHeight="1" x14ac:dyDescent="0.25">
      <c r="A242" s="8" t="s">
        <v>250</v>
      </c>
      <c r="B242">
        <v>1.2</v>
      </c>
      <c r="C242" s="1">
        <v>13.23</v>
      </c>
      <c r="D242" s="1">
        <f>Tabelle1[[#This Row],[Gross Sales Price]]/1.18</f>
        <v>11.211864406779663</v>
      </c>
      <c r="E242" s="1">
        <f>Tabelle1[[#This Row],[Gross Sales Price]]*0.12</f>
        <v>1.5875999999999999</v>
      </c>
      <c r="F242" s="1">
        <v>0.4</v>
      </c>
      <c r="G242" s="1">
        <v>3</v>
      </c>
      <c r="H242" s="1">
        <v>2</v>
      </c>
      <c r="I242" s="2">
        <f>Tabelle1[[#This Row],[Base Price]]+Tabelle1[[#This Row],[Total Selling Costs
	]]+Tabelle1[[#This Row],[DHL Costs]]+Tabelle1[[#This Row],[Handling Costs]]+Tabelle1[[#This Row],[Fixed Costs]]</f>
        <v>8.1875999999999998</v>
      </c>
      <c r="J242" s="1">
        <f>Tabelle1[[#This Row],[Net Sales Price]]-Tabelle1[[#This Row],[Variable Costs]]</f>
        <v>3.0242644067796629</v>
      </c>
    </row>
    <row r="243" spans="1:10" ht="14.25" customHeight="1" x14ac:dyDescent="0.25">
      <c r="A243" s="8" t="s">
        <v>251</v>
      </c>
      <c r="B243">
        <v>15.6</v>
      </c>
      <c r="C243" s="1">
        <v>27.6</v>
      </c>
      <c r="D243" s="1">
        <f>Tabelle1[[#This Row],[Gross Sales Price]]/1.18</f>
        <v>23.389830508474578</v>
      </c>
      <c r="E243" s="1">
        <f>Tabelle1[[#This Row],[Gross Sales Price]]*0.12</f>
        <v>3.3119999999999998</v>
      </c>
      <c r="F243" s="1">
        <v>0.4</v>
      </c>
      <c r="G243" s="1">
        <v>3</v>
      </c>
      <c r="H243" s="1">
        <v>2</v>
      </c>
      <c r="I243" s="2">
        <f>Tabelle1[[#This Row],[Base Price]]+Tabelle1[[#This Row],[Total Selling Costs
	]]+Tabelle1[[#This Row],[DHL Costs]]+Tabelle1[[#This Row],[Handling Costs]]+Tabelle1[[#This Row],[Fixed Costs]]</f>
        <v>24.311999999999998</v>
      </c>
      <c r="J243" s="1">
        <f>Tabelle1[[#This Row],[Net Sales Price]]-Tabelle1[[#This Row],[Variable Costs]]</f>
        <v>-0.92216949152541972</v>
      </c>
    </row>
    <row r="244" spans="1:10" ht="14.25" customHeight="1" x14ac:dyDescent="0.25">
      <c r="A244" s="8" t="s">
        <v>252</v>
      </c>
      <c r="B244">
        <v>2.4</v>
      </c>
      <c r="C244" s="1">
        <v>15.95</v>
      </c>
      <c r="D244" s="1">
        <f>Tabelle1[[#This Row],[Gross Sales Price]]/1.18</f>
        <v>13.516949152542374</v>
      </c>
      <c r="E244" s="1">
        <f>Tabelle1[[#This Row],[Gross Sales Price]]*0.12</f>
        <v>1.9139999999999999</v>
      </c>
      <c r="F244" s="1">
        <v>0.4</v>
      </c>
      <c r="G244" s="1">
        <v>3</v>
      </c>
      <c r="H244" s="1">
        <v>2</v>
      </c>
      <c r="I244" s="2">
        <f>Tabelle1[[#This Row],[Base Price]]+Tabelle1[[#This Row],[Total Selling Costs
	]]+Tabelle1[[#This Row],[DHL Costs]]+Tabelle1[[#This Row],[Handling Costs]]+Tabelle1[[#This Row],[Fixed Costs]]</f>
        <v>9.7140000000000004</v>
      </c>
      <c r="J244" s="1">
        <f>Tabelle1[[#This Row],[Net Sales Price]]-Tabelle1[[#This Row],[Variable Costs]]</f>
        <v>3.8029491525423733</v>
      </c>
    </row>
    <row r="245" spans="1:10" ht="14.25" customHeight="1" x14ac:dyDescent="0.25">
      <c r="A245" s="8" t="s">
        <v>253</v>
      </c>
      <c r="B245">
        <v>7.83</v>
      </c>
      <c r="C245" s="1">
        <v>20.399999999999999</v>
      </c>
      <c r="D245" s="1">
        <f>Tabelle1[[#This Row],[Gross Sales Price]]/1.18</f>
        <v>17.288135593220339</v>
      </c>
      <c r="E245" s="1">
        <f>Tabelle1[[#This Row],[Gross Sales Price]]*0.12</f>
        <v>2.448</v>
      </c>
      <c r="F245" s="1">
        <v>0.4</v>
      </c>
      <c r="G245" s="1">
        <v>3</v>
      </c>
      <c r="H245" s="1">
        <v>2</v>
      </c>
      <c r="I245" s="2">
        <f>Tabelle1[[#This Row],[Base Price]]+Tabelle1[[#This Row],[Total Selling Costs
	]]+Tabelle1[[#This Row],[DHL Costs]]+Tabelle1[[#This Row],[Handling Costs]]+Tabelle1[[#This Row],[Fixed Costs]]</f>
        <v>15.678000000000001</v>
      </c>
      <c r="J245" s="1">
        <f>Tabelle1[[#This Row],[Net Sales Price]]-Tabelle1[[#This Row],[Variable Costs]]</f>
        <v>1.6101355932203383</v>
      </c>
    </row>
    <row r="246" spans="1:10" ht="14.25" customHeight="1" x14ac:dyDescent="0.25">
      <c r="A246" s="8" t="s">
        <v>254</v>
      </c>
      <c r="B246">
        <v>4.17</v>
      </c>
      <c r="C246" s="1">
        <v>28.46</v>
      </c>
      <c r="D246" s="1">
        <f>Tabelle1[[#This Row],[Gross Sales Price]]/1.18</f>
        <v>24.118644067796613</v>
      </c>
      <c r="E246" s="1">
        <f>Tabelle1[[#This Row],[Gross Sales Price]]*0.12</f>
        <v>3.4152</v>
      </c>
      <c r="F246" s="1">
        <v>0.4</v>
      </c>
      <c r="G246" s="1">
        <v>3</v>
      </c>
      <c r="H246" s="1">
        <v>2</v>
      </c>
      <c r="I246" s="2">
        <f>Tabelle1[[#This Row],[Base Price]]+Tabelle1[[#This Row],[Total Selling Costs
	]]+Tabelle1[[#This Row],[DHL Costs]]+Tabelle1[[#This Row],[Handling Costs]]+Tabelle1[[#This Row],[Fixed Costs]]</f>
        <v>12.985200000000001</v>
      </c>
      <c r="J246" s="1">
        <f>Tabelle1[[#This Row],[Net Sales Price]]-Tabelle1[[#This Row],[Variable Costs]]</f>
        <v>11.133444067796612</v>
      </c>
    </row>
    <row r="247" spans="1:10" ht="14.25" customHeight="1" x14ac:dyDescent="0.25">
      <c r="A247" s="8" t="s">
        <v>255</v>
      </c>
      <c r="B247">
        <v>11</v>
      </c>
      <c r="C247" s="1">
        <v>30.69</v>
      </c>
      <c r="D247" s="1">
        <f>Tabelle1[[#This Row],[Gross Sales Price]]/1.18</f>
        <v>26.00847457627119</v>
      </c>
      <c r="E247" s="1">
        <f>Tabelle1[[#This Row],[Gross Sales Price]]*0.12</f>
        <v>3.6827999999999999</v>
      </c>
      <c r="F247" s="1">
        <v>0.4</v>
      </c>
      <c r="G247" s="1">
        <v>3</v>
      </c>
      <c r="H247" s="1">
        <v>2</v>
      </c>
      <c r="I247" s="2">
        <f>Tabelle1[[#This Row],[Base Price]]+Tabelle1[[#This Row],[Total Selling Costs
	]]+Tabelle1[[#This Row],[DHL Costs]]+Tabelle1[[#This Row],[Handling Costs]]+Tabelle1[[#This Row],[Fixed Costs]]</f>
        <v>20.082799999999999</v>
      </c>
      <c r="J247" s="1">
        <f>Tabelle1[[#This Row],[Net Sales Price]]-Tabelle1[[#This Row],[Variable Costs]]</f>
        <v>5.9256745762711915</v>
      </c>
    </row>
    <row r="248" spans="1:10" ht="14.25" customHeight="1" x14ac:dyDescent="0.25">
      <c r="A248" s="8" t="s">
        <v>256</v>
      </c>
      <c r="B248">
        <v>3.36</v>
      </c>
      <c r="C248" s="1">
        <v>4.79</v>
      </c>
      <c r="D248" s="1">
        <f>Tabelle1[[#This Row],[Gross Sales Price]]/1.18</f>
        <v>4.0593220338983054</v>
      </c>
      <c r="E248" s="1">
        <f>Tabelle1[[#This Row],[Gross Sales Price]]*0.12</f>
        <v>0.57479999999999998</v>
      </c>
      <c r="F248" s="1">
        <v>0.4</v>
      </c>
      <c r="G248" s="1">
        <v>3</v>
      </c>
      <c r="H248" s="1">
        <v>2</v>
      </c>
      <c r="I248" s="2">
        <f>Tabelle1[[#This Row],[Base Price]]+Tabelle1[[#This Row],[Total Selling Costs
	]]+Tabelle1[[#This Row],[DHL Costs]]+Tabelle1[[#This Row],[Handling Costs]]+Tabelle1[[#This Row],[Fixed Costs]]</f>
        <v>9.3347999999999995</v>
      </c>
      <c r="J248" s="1">
        <f>Tabelle1[[#This Row],[Net Sales Price]]-Tabelle1[[#This Row],[Variable Costs]]</f>
        <v>-5.2754779661016942</v>
      </c>
    </row>
    <row r="249" spans="1:10" ht="14.25" customHeight="1" x14ac:dyDescent="0.25">
      <c r="A249" s="8" t="s">
        <v>257</v>
      </c>
      <c r="B249">
        <v>4.38</v>
      </c>
      <c r="C249" s="1">
        <v>8.59</v>
      </c>
      <c r="D249" s="1">
        <f>Tabelle1[[#This Row],[Gross Sales Price]]/1.18</f>
        <v>7.2796610169491531</v>
      </c>
      <c r="E249" s="1">
        <f>Tabelle1[[#This Row],[Gross Sales Price]]*0.12</f>
        <v>1.0307999999999999</v>
      </c>
      <c r="F249" s="1">
        <v>0.4</v>
      </c>
      <c r="G249" s="1">
        <v>3</v>
      </c>
      <c r="H249" s="1">
        <v>2</v>
      </c>
      <c r="I249" s="2">
        <f>Tabelle1[[#This Row],[Base Price]]+Tabelle1[[#This Row],[Total Selling Costs
	]]+Tabelle1[[#This Row],[DHL Costs]]+Tabelle1[[#This Row],[Handling Costs]]+Tabelle1[[#This Row],[Fixed Costs]]</f>
        <v>10.8108</v>
      </c>
      <c r="J249" s="1">
        <f>Tabelle1[[#This Row],[Net Sales Price]]-Tabelle1[[#This Row],[Variable Costs]]</f>
        <v>-3.5311389830508473</v>
      </c>
    </row>
    <row r="250" spans="1:10" ht="14.25" customHeight="1" x14ac:dyDescent="0.25">
      <c r="A250" s="8" t="s">
        <v>258</v>
      </c>
      <c r="B250">
        <v>5.53</v>
      </c>
      <c r="C250" s="1">
        <v>20.49</v>
      </c>
      <c r="D250" s="1">
        <f>Tabelle1[[#This Row],[Gross Sales Price]]/1.18</f>
        <v>17.364406779661017</v>
      </c>
      <c r="E250" s="1">
        <f>Tabelle1[[#This Row],[Gross Sales Price]]*0.12</f>
        <v>2.4587999999999997</v>
      </c>
      <c r="F250" s="1">
        <v>0.4</v>
      </c>
      <c r="G250" s="1">
        <v>3</v>
      </c>
      <c r="H250" s="1">
        <v>2</v>
      </c>
      <c r="I250" s="2">
        <f>Tabelle1[[#This Row],[Base Price]]+Tabelle1[[#This Row],[Total Selling Costs
	]]+Tabelle1[[#This Row],[DHL Costs]]+Tabelle1[[#This Row],[Handling Costs]]+Tabelle1[[#This Row],[Fixed Costs]]</f>
        <v>13.3888</v>
      </c>
      <c r="J250" s="1">
        <f>Tabelle1[[#This Row],[Net Sales Price]]-Tabelle1[[#This Row],[Variable Costs]]</f>
        <v>3.9756067796610175</v>
      </c>
    </row>
    <row r="251" spans="1:10" ht="14.25" customHeight="1" x14ac:dyDescent="0.25">
      <c r="A251" s="8" t="s">
        <v>259</v>
      </c>
      <c r="B251" s="1">
        <v>7.93</v>
      </c>
      <c r="C251" s="1">
        <v>13.68</v>
      </c>
      <c r="D251" s="1">
        <f>Tabelle1[[#This Row],[Gross Sales Price]]/1.18</f>
        <v>11.593220338983052</v>
      </c>
      <c r="E251" s="1">
        <f>Tabelle1[[#This Row],[Gross Sales Price]]*0.12</f>
        <v>1.6415999999999999</v>
      </c>
      <c r="F251" s="1">
        <v>0.4</v>
      </c>
      <c r="G251" s="1">
        <v>3</v>
      </c>
      <c r="H251" s="1">
        <v>2</v>
      </c>
      <c r="I251" s="2">
        <f>Tabelle1[[#This Row],[Base Price]]+Tabelle1[[#This Row],[Total Selling Costs
	]]+Tabelle1[[#This Row],[DHL Costs]]+Tabelle1[[#This Row],[Handling Costs]]+Tabelle1[[#This Row],[Fixed Costs]]</f>
        <v>14.9716</v>
      </c>
      <c r="J251" s="1">
        <f>Tabelle1[[#This Row],[Net Sales Price]]-Tabelle1[[#This Row],[Variable Costs]]</f>
        <v>-3.3783796610169485</v>
      </c>
    </row>
    <row r="252" spans="1:10" ht="14.25" customHeight="1" x14ac:dyDescent="0.25">
      <c r="A252" s="8" t="s">
        <v>260</v>
      </c>
      <c r="B252" s="1">
        <v>19.28</v>
      </c>
      <c r="C252" s="1">
        <v>36.61</v>
      </c>
      <c r="D252" s="1">
        <f>Tabelle1[[#This Row],[Gross Sales Price]]/1.18</f>
        <v>31.025423728813561</v>
      </c>
      <c r="E252" s="1">
        <f>Tabelle1[[#This Row],[Gross Sales Price]]*0.12</f>
        <v>4.3931999999999993</v>
      </c>
      <c r="F252" s="1">
        <v>0.4</v>
      </c>
      <c r="G252" s="1">
        <v>3</v>
      </c>
      <c r="H252" s="1">
        <v>2</v>
      </c>
      <c r="I252" s="2">
        <f>Tabelle1[[#This Row],[Base Price]]+Tabelle1[[#This Row],[Total Selling Costs
	]]+Tabelle1[[#This Row],[DHL Costs]]+Tabelle1[[#This Row],[Handling Costs]]+Tabelle1[[#This Row],[Fixed Costs]]</f>
        <v>29.0732</v>
      </c>
      <c r="J252" s="1">
        <f>Tabelle1[[#This Row],[Net Sales Price]]-Tabelle1[[#This Row],[Variable Costs]]</f>
        <v>1.9522237288135607</v>
      </c>
    </row>
    <row r="253" spans="1:10" ht="14.25" customHeight="1" x14ac:dyDescent="0.25">
      <c r="A253" s="8" t="s">
        <v>261</v>
      </c>
      <c r="B253" s="1">
        <v>16.55</v>
      </c>
      <c r="C253" s="1">
        <v>5.36</v>
      </c>
      <c r="D253" s="1">
        <f>Tabelle1[[#This Row],[Gross Sales Price]]/1.18</f>
        <v>4.5423728813559325</v>
      </c>
      <c r="E253" s="1">
        <f>Tabelle1[[#This Row],[Gross Sales Price]]*0.12</f>
        <v>0.64319999999999999</v>
      </c>
      <c r="F253" s="1">
        <v>0.4</v>
      </c>
      <c r="G253" s="1">
        <v>3</v>
      </c>
      <c r="H253" s="1">
        <v>2</v>
      </c>
      <c r="I253" s="2">
        <f>Tabelle1[[#This Row],[Base Price]]+Tabelle1[[#This Row],[Total Selling Costs
	]]+Tabelle1[[#This Row],[DHL Costs]]+Tabelle1[[#This Row],[Handling Costs]]+Tabelle1[[#This Row],[Fixed Costs]]</f>
        <v>22.5932</v>
      </c>
      <c r="J253" s="1">
        <f>Tabelle1[[#This Row],[Net Sales Price]]-Tabelle1[[#This Row],[Variable Costs]]</f>
        <v>-18.050827118644065</v>
      </c>
    </row>
    <row r="254" spans="1:10" ht="14.25" customHeight="1" x14ac:dyDescent="0.25">
      <c r="A254" s="8" t="s">
        <v>262</v>
      </c>
      <c r="B254" s="1">
        <v>5.16</v>
      </c>
      <c r="C254" s="1">
        <v>3.05</v>
      </c>
      <c r="D254" s="1">
        <f>Tabelle1[[#This Row],[Gross Sales Price]]/1.18</f>
        <v>2.5847457627118642</v>
      </c>
      <c r="E254" s="1">
        <f>Tabelle1[[#This Row],[Gross Sales Price]]*0.12</f>
        <v>0.36599999999999999</v>
      </c>
      <c r="F254" s="1">
        <v>0.4</v>
      </c>
      <c r="G254" s="1">
        <v>3</v>
      </c>
      <c r="H254" s="1">
        <v>2</v>
      </c>
      <c r="I254" s="2">
        <f>Tabelle1[[#This Row],[Base Price]]+Tabelle1[[#This Row],[Total Selling Costs
	]]+Tabelle1[[#This Row],[DHL Costs]]+Tabelle1[[#This Row],[Handling Costs]]+Tabelle1[[#This Row],[Fixed Costs]]</f>
        <v>10.926</v>
      </c>
      <c r="J254" s="1">
        <f>Tabelle1[[#This Row],[Net Sales Price]]-Tabelle1[[#This Row],[Variable Costs]]</f>
        <v>-8.3412542372881369</v>
      </c>
    </row>
    <row r="255" spans="1:10" ht="14.25" customHeight="1" x14ac:dyDescent="0.25">
      <c r="A255" s="8" t="s">
        <v>263</v>
      </c>
      <c r="B255" s="1">
        <v>18.09</v>
      </c>
      <c r="C255" s="1">
        <v>29.84</v>
      </c>
      <c r="D255" s="1">
        <f>Tabelle1[[#This Row],[Gross Sales Price]]/1.18</f>
        <v>25.288135593220339</v>
      </c>
      <c r="E255" s="1">
        <f>Tabelle1[[#This Row],[Gross Sales Price]]*0.12</f>
        <v>3.5808</v>
      </c>
      <c r="F255" s="1">
        <v>0.4</v>
      </c>
      <c r="G255" s="1">
        <v>3</v>
      </c>
      <c r="H255" s="1">
        <v>2</v>
      </c>
      <c r="I255" s="2">
        <f>Tabelle1[[#This Row],[Base Price]]+Tabelle1[[#This Row],[Total Selling Costs
	]]+Tabelle1[[#This Row],[DHL Costs]]+Tabelle1[[#This Row],[Handling Costs]]+Tabelle1[[#This Row],[Fixed Costs]]</f>
        <v>27.070799999999998</v>
      </c>
      <c r="J255" s="1">
        <f>Tabelle1[[#This Row],[Net Sales Price]]-Tabelle1[[#This Row],[Variable Costs]]</f>
        <v>-1.7826644067796593</v>
      </c>
    </row>
    <row r="256" spans="1:10" ht="14.25" customHeight="1" x14ac:dyDescent="0.25">
      <c r="A256" s="8" t="s">
        <v>264</v>
      </c>
      <c r="B256" s="1">
        <v>13.37</v>
      </c>
      <c r="C256" s="1">
        <v>11.03</v>
      </c>
      <c r="D256" s="1">
        <f>Tabelle1[[#This Row],[Gross Sales Price]]/1.18</f>
        <v>9.3474576271186436</v>
      </c>
      <c r="E256" s="1">
        <f>Tabelle1[[#This Row],[Gross Sales Price]]*0.12</f>
        <v>1.3235999999999999</v>
      </c>
      <c r="F256" s="1">
        <v>0.4</v>
      </c>
      <c r="G256" s="1">
        <v>3</v>
      </c>
      <c r="H256" s="1">
        <v>2</v>
      </c>
      <c r="I256" s="2">
        <f>Tabelle1[[#This Row],[Base Price]]+Tabelle1[[#This Row],[Total Selling Costs
	]]+Tabelle1[[#This Row],[DHL Costs]]+Tabelle1[[#This Row],[Handling Costs]]+Tabelle1[[#This Row],[Fixed Costs]]</f>
        <v>20.093599999999999</v>
      </c>
      <c r="J256" s="1">
        <f>Tabelle1[[#This Row],[Net Sales Price]]-Tabelle1[[#This Row],[Variable Costs]]</f>
        <v>-10.746142372881355</v>
      </c>
    </row>
    <row r="257" spans="1:10" ht="14.25" customHeight="1" x14ac:dyDescent="0.25">
      <c r="A257" s="8" t="s">
        <v>265</v>
      </c>
      <c r="B257" s="1">
        <v>10.72</v>
      </c>
      <c r="C257" s="1">
        <v>33.86</v>
      </c>
      <c r="D257" s="1">
        <f>Tabelle1[[#This Row],[Gross Sales Price]]/1.18</f>
        <v>28.694915254237291</v>
      </c>
      <c r="E257" s="1">
        <f>Tabelle1[[#This Row],[Gross Sales Price]]*0.12</f>
        <v>4.0632000000000001</v>
      </c>
      <c r="F257" s="1">
        <v>0.4</v>
      </c>
      <c r="G257" s="1">
        <v>3</v>
      </c>
      <c r="H257" s="1">
        <v>2</v>
      </c>
      <c r="I257" s="2">
        <f>Tabelle1[[#This Row],[Base Price]]+Tabelle1[[#This Row],[Total Selling Costs
	]]+Tabelle1[[#This Row],[DHL Costs]]+Tabelle1[[#This Row],[Handling Costs]]+Tabelle1[[#This Row],[Fixed Costs]]</f>
        <v>20.183199999999999</v>
      </c>
      <c r="J257" s="1">
        <f>Tabelle1[[#This Row],[Net Sales Price]]-Tabelle1[[#This Row],[Variable Costs]]</f>
        <v>8.5117152542372914</v>
      </c>
    </row>
    <row r="258" spans="1:10" ht="14.25" customHeight="1" x14ac:dyDescent="0.25">
      <c r="A258" s="8" t="s">
        <v>266</v>
      </c>
      <c r="B258" s="1">
        <v>6.22</v>
      </c>
      <c r="C258" s="1">
        <v>6.95</v>
      </c>
      <c r="D258" s="1">
        <f>Tabelle1[[#This Row],[Gross Sales Price]]/1.18</f>
        <v>5.889830508474577</v>
      </c>
      <c r="E258" s="1">
        <f>Tabelle1[[#This Row],[Gross Sales Price]]*0.12</f>
        <v>0.83399999999999996</v>
      </c>
      <c r="F258" s="1">
        <v>0.4</v>
      </c>
      <c r="G258" s="1">
        <v>3</v>
      </c>
      <c r="H258" s="1">
        <v>2</v>
      </c>
      <c r="I258" s="2">
        <f>Tabelle1[[#This Row],[Base Price]]+Tabelle1[[#This Row],[Total Selling Costs
	]]+Tabelle1[[#This Row],[DHL Costs]]+Tabelle1[[#This Row],[Handling Costs]]+Tabelle1[[#This Row],[Fixed Costs]]</f>
        <v>12.453999999999999</v>
      </c>
      <c r="J258" s="1">
        <f>Tabelle1[[#This Row],[Net Sales Price]]-Tabelle1[[#This Row],[Variable Costs]]</f>
        <v>-6.5641694915254218</v>
      </c>
    </row>
    <row r="259" spans="1:10" ht="14.25" customHeight="1" x14ac:dyDescent="0.25">
      <c r="A259" s="8" t="s">
        <v>267</v>
      </c>
      <c r="B259" s="1">
        <v>15.67</v>
      </c>
      <c r="C259" s="1">
        <v>28.82</v>
      </c>
      <c r="D259" s="1">
        <f>Tabelle1[[#This Row],[Gross Sales Price]]/1.18</f>
        <v>24.423728813559322</v>
      </c>
      <c r="E259" s="1">
        <f>Tabelle1[[#This Row],[Gross Sales Price]]*0.12</f>
        <v>3.4583999999999997</v>
      </c>
      <c r="F259" s="1">
        <v>0.4</v>
      </c>
      <c r="G259" s="1">
        <v>3</v>
      </c>
      <c r="H259" s="1">
        <v>2</v>
      </c>
      <c r="I259" s="2">
        <f>Tabelle1[[#This Row],[Base Price]]+Tabelle1[[#This Row],[Total Selling Costs
	]]+Tabelle1[[#This Row],[DHL Costs]]+Tabelle1[[#This Row],[Handling Costs]]+Tabelle1[[#This Row],[Fixed Costs]]</f>
        <v>24.528399999999998</v>
      </c>
      <c r="J259" s="1">
        <f>Tabelle1[[#This Row],[Net Sales Price]]-Tabelle1[[#This Row],[Variable Costs]]</f>
        <v>-0.10467118644067597</v>
      </c>
    </row>
    <row r="260" spans="1:10" ht="14.25" customHeight="1" x14ac:dyDescent="0.25">
      <c r="A260" s="8" t="s">
        <v>268</v>
      </c>
      <c r="B260" s="1">
        <v>13.5</v>
      </c>
      <c r="C260" s="1">
        <v>26.07</v>
      </c>
      <c r="D260" s="1">
        <f>Tabelle1[[#This Row],[Gross Sales Price]]/1.18</f>
        <v>22.093220338983052</v>
      </c>
      <c r="E260" s="1">
        <f>Tabelle1[[#This Row],[Gross Sales Price]]*0.12</f>
        <v>3.1284000000000001</v>
      </c>
      <c r="F260" s="1">
        <v>0.4</v>
      </c>
      <c r="G260" s="1">
        <v>3</v>
      </c>
      <c r="H260" s="1">
        <v>2</v>
      </c>
      <c r="I260" s="2">
        <f>Tabelle1[[#This Row],[Base Price]]+Tabelle1[[#This Row],[Total Selling Costs
	]]+Tabelle1[[#This Row],[DHL Costs]]+Tabelle1[[#This Row],[Handling Costs]]+Tabelle1[[#This Row],[Fixed Costs]]</f>
        <v>22.028399999999998</v>
      </c>
      <c r="J260" s="1">
        <f>Tabelle1[[#This Row],[Net Sales Price]]-Tabelle1[[#This Row],[Variable Costs]]</f>
        <v>6.4820338983054171E-2</v>
      </c>
    </row>
    <row r="261" spans="1:10" ht="14.25" customHeight="1" x14ac:dyDescent="0.25">
      <c r="A261" s="8" t="s">
        <v>269</v>
      </c>
      <c r="B261" s="1">
        <v>19.190000000000001</v>
      </c>
      <c r="C261" s="1">
        <v>1.4</v>
      </c>
      <c r="D261" s="1">
        <f>Tabelle1[[#This Row],[Gross Sales Price]]/1.18</f>
        <v>1.1864406779661016</v>
      </c>
      <c r="E261" s="1">
        <f>Tabelle1[[#This Row],[Gross Sales Price]]*0.12</f>
        <v>0.16799999999999998</v>
      </c>
      <c r="F261" s="1">
        <v>0.4</v>
      </c>
      <c r="G261" s="1">
        <v>3</v>
      </c>
      <c r="H261" s="1">
        <v>2</v>
      </c>
      <c r="I261" s="2">
        <f>Tabelle1[[#This Row],[Base Price]]+Tabelle1[[#This Row],[Total Selling Costs
	]]+Tabelle1[[#This Row],[DHL Costs]]+Tabelle1[[#This Row],[Handling Costs]]+Tabelle1[[#This Row],[Fixed Costs]]</f>
        <v>24.757999999999999</v>
      </c>
      <c r="J261" s="1">
        <f>Tabelle1[[#This Row],[Net Sales Price]]-Tabelle1[[#This Row],[Variable Costs]]</f>
        <v>-23.571559322033899</v>
      </c>
    </row>
    <row r="262" spans="1:10" ht="14.25" customHeight="1" x14ac:dyDescent="0.25">
      <c r="A262" s="8" t="s">
        <v>270</v>
      </c>
      <c r="B262" s="1">
        <v>12.88</v>
      </c>
      <c r="C262" s="1">
        <v>17.829999999999998</v>
      </c>
      <c r="D262" s="1">
        <f>Tabelle1[[#This Row],[Gross Sales Price]]/1.18</f>
        <v>15.110169491525424</v>
      </c>
      <c r="E262" s="1">
        <f>Tabelle1[[#This Row],[Gross Sales Price]]*0.12</f>
        <v>2.1395999999999997</v>
      </c>
      <c r="F262" s="1">
        <v>0.4</v>
      </c>
      <c r="G262" s="1">
        <v>3</v>
      </c>
      <c r="H262" s="1">
        <v>2</v>
      </c>
      <c r="I262" s="2">
        <f>Tabelle1[[#This Row],[Base Price]]+Tabelle1[[#This Row],[Total Selling Costs
	]]+Tabelle1[[#This Row],[DHL Costs]]+Tabelle1[[#This Row],[Handling Costs]]+Tabelle1[[#This Row],[Fixed Costs]]</f>
        <v>20.419599999999999</v>
      </c>
      <c r="J262" s="1">
        <f>Tabelle1[[#This Row],[Net Sales Price]]-Tabelle1[[#This Row],[Variable Costs]]</f>
        <v>-5.3094305084745752</v>
      </c>
    </row>
    <row r="263" spans="1:10" ht="14.25" customHeight="1" x14ac:dyDescent="0.25">
      <c r="A263" s="8" t="s">
        <v>271</v>
      </c>
      <c r="B263" s="1">
        <v>2.12</v>
      </c>
      <c r="C263" s="1">
        <v>24.86</v>
      </c>
      <c r="D263" s="1">
        <f>Tabelle1[[#This Row],[Gross Sales Price]]/1.18</f>
        <v>21.067796610169491</v>
      </c>
      <c r="E263" s="1">
        <f>Tabelle1[[#This Row],[Gross Sales Price]]*0.12</f>
        <v>2.9831999999999996</v>
      </c>
      <c r="F263" s="1">
        <v>0.4</v>
      </c>
      <c r="G263" s="1">
        <v>3</v>
      </c>
      <c r="H263" s="1">
        <v>2</v>
      </c>
      <c r="I263" s="2">
        <f>Tabelle1[[#This Row],[Base Price]]+Tabelle1[[#This Row],[Total Selling Costs
	]]+Tabelle1[[#This Row],[DHL Costs]]+Tabelle1[[#This Row],[Handling Costs]]+Tabelle1[[#This Row],[Fixed Costs]]</f>
        <v>10.5032</v>
      </c>
      <c r="J263" s="1">
        <f>Tabelle1[[#This Row],[Net Sales Price]]-Tabelle1[[#This Row],[Variable Costs]]</f>
        <v>10.564596610169492</v>
      </c>
    </row>
    <row r="264" spans="1:10" ht="14.25" customHeight="1" x14ac:dyDescent="0.25">
      <c r="A264" s="8" t="s">
        <v>272</v>
      </c>
      <c r="B264" s="1">
        <v>16.32</v>
      </c>
      <c r="C264" s="1">
        <v>3.27</v>
      </c>
      <c r="D264" s="1">
        <f>Tabelle1[[#This Row],[Gross Sales Price]]/1.18</f>
        <v>2.7711864406779663</v>
      </c>
      <c r="E264" s="1">
        <f>Tabelle1[[#This Row],[Gross Sales Price]]*0.12</f>
        <v>0.39239999999999997</v>
      </c>
      <c r="F264" s="1">
        <v>0.4</v>
      </c>
      <c r="G264" s="1">
        <v>3</v>
      </c>
      <c r="H264" s="1">
        <v>2</v>
      </c>
      <c r="I264" s="2">
        <f>Tabelle1[[#This Row],[Base Price]]+Tabelle1[[#This Row],[Total Selling Costs
	]]+Tabelle1[[#This Row],[DHL Costs]]+Tabelle1[[#This Row],[Handling Costs]]+Tabelle1[[#This Row],[Fixed Costs]]</f>
        <v>22.112399999999997</v>
      </c>
      <c r="J264" s="1">
        <f>Tabelle1[[#This Row],[Net Sales Price]]-Tabelle1[[#This Row],[Variable Costs]]</f>
        <v>-19.341213559322032</v>
      </c>
    </row>
    <row r="265" spans="1:10" ht="14.25" customHeight="1" x14ac:dyDescent="0.25">
      <c r="A265" s="8" t="s">
        <v>273</v>
      </c>
      <c r="B265" s="1">
        <v>17.59</v>
      </c>
      <c r="C265" s="1">
        <v>35.08</v>
      </c>
      <c r="D265" s="1">
        <f>Tabelle1[[#This Row],[Gross Sales Price]]/1.18</f>
        <v>29.728813559322035</v>
      </c>
      <c r="E265" s="1">
        <f>Tabelle1[[#This Row],[Gross Sales Price]]*0.12</f>
        <v>4.2096</v>
      </c>
      <c r="F265" s="1">
        <v>0.4</v>
      </c>
      <c r="G265" s="1">
        <v>3</v>
      </c>
      <c r="H265" s="1">
        <v>2</v>
      </c>
      <c r="I265" s="2">
        <f>Tabelle1[[#This Row],[Base Price]]+Tabelle1[[#This Row],[Total Selling Costs
	]]+Tabelle1[[#This Row],[DHL Costs]]+Tabelle1[[#This Row],[Handling Costs]]+Tabelle1[[#This Row],[Fixed Costs]]</f>
        <v>27.199599999999997</v>
      </c>
      <c r="J265" s="1">
        <f>Tabelle1[[#This Row],[Net Sales Price]]-Tabelle1[[#This Row],[Variable Costs]]</f>
        <v>2.529213559322038</v>
      </c>
    </row>
    <row r="266" spans="1:10" ht="14.25" customHeight="1" x14ac:dyDescent="0.25">
      <c r="A266" s="8" t="s">
        <v>274</v>
      </c>
      <c r="B266" s="1">
        <v>19.16</v>
      </c>
      <c r="C266" s="1">
        <v>24.16</v>
      </c>
      <c r="D266" s="1">
        <f>Tabelle1[[#This Row],[Gross Sales Price]]/1.18</f>
        <v>20.474576271186443</v>
      </c>
      <c r="E266" s="1">
        <f>Tabelle1[[#This Row],[Gross Sales Price]]*0.12</f>
        <v>2.8992</v>
      </c>
      <c r="F266" s="1">
        <v>0.4</v>
      </c>
      <c r="G266" s="1">
        <v>3</v>
      </c>
      <c r="H266" s="1">
        <v>2</v>
      </c>
      <c r="I266" s="2">
        <f>Tabelle1[[#This Row],[Base Price]]+Tabelle1[[#This Row],[Total Selling Costs
	]]+Tabelle1[[#This Row],[DHL Costs]]+Tabelle1[[#This Row],[Handling Costs]]+Tabelle1[[#This Row],[Fixed Costs]]</f>
        <v>27.459199999999999</v>
      </c>
      <c r="J266" s="1">
        <f>Tabelle1[[#This Row],[Net Sales Price]]-Tabelle1[[#This Row],[Variable Costs]]</f>
        <v>-6.9846237288135562</v>
      </c>
    </row>
    <row r="267" spans="1:10" ht="14.25" customHeight="1" x14ac:dyDescent="0.25">
      <c r="A267" s="8" t="s">
        <v>275</v>
      </c>
      <c r="B267" s="1">
        <v>12.53</v>
      </c>
      <c r="C267" s="1">
        <v>22.41</v>
      </c>
      <c r="D267" s="1">
        <f>Tabelle1[[#This Row],[Gross Sales Price]]/1.18</f>
        <v>18.991525423728813</v>
      </c>
      <c r="E267" s="1">
        <f>Tabelle1[[#This Row],[Gross Sales Price]]*0.12</f>
        <v>2.6892</v>
      </c>
      <c r="F267" s="1">
        <v>0.4</v>
      </c>
      <c r="G267" s="1">
        <v>3</v>
      </c>
      <c r="H267" s="1">
        <v>2</v>
      </c>
      <c r="I267" s="2">
        <f>Tabelle1[[#This Row],[Base Price]]+Tabelle1[[#This Row],[Total Selling Costs
	]]+Tabelle1[[#This Row],[DHL Costs]]+Tabelle1[[#This Row],[Handling Costs]]+Tabelle1[[#This Row],[Fixed Costs]]</f>
        <v>20.619199999999999</v>
      </c>
      <c r="J267" s="1">
        <f>Tabelle1[[#This Row],[Net Sales Price]]-Tabelle1[[#This Row],[Variable Costs]]</f>
        <v>-1.6276745762711862</v>
      </c>
    </row>
    <row r="268" spans="1:10" ht="14.25" customHeight="1" x14ac:dyDescent="0.25">
      <c r="A268" s="8" t="s">
        <v>276</v>
      </c>
      <c r="B268" s="1">
        <v>1.43</v>
      </c>
      <c r="C268" s="1">
        <v>6.21</v>
      </c>
      <c r="D268" s="1">
        <f>Tabelle1[[#This Row],[Gross Sales Price]]/1.18</f>
        <v>5.2627118644067803</v>
      </c>
      <c r="E268" s="1">
        <f>Tabelle1[[#This Row],[Gross Sales Price]]*0.12</f>
        <v>0.74519999999999997</v>
      </c>
      <c r="F268" s="1">
        <v>0.4</v>
      </c>
      <c r="G268" s="1">
        <v>3</v>
      </c>
      <c r="H268" s="1">
        <v>2</v>
      </c>
      <c r="I268" s="2">
        <f>Tabelle1[[#This Row],[Base Price]]+Tabelle1[[#This Row],[Total Selling Costs
	]]+Tabelle1[[#This Row],[DHL Costs]]+Tabelle1[[#This Row],[Handling Costs]]+Tabelle1[[#This Row],[Fixed Costs]]</f>
        <v>7.5752000000000006</v>
      </c>
      <c r="J268" s="1">
        <f>Tabelle1[[#This Row],[Net Sales Price]]-Tabelle1[[#This Row],[Variable Costs]]</f>
        <v>-2.3124881355932203</v>
      </c>
    </row>
    <row r="269" spans="1:10" ht="14.25" customHeight="1" x14ac:dyDescent="0.25">
      <c r="A269" s="8" t="s">
        <v>277</v>
      </c>
      <c r="B269" s="1">
        <v>6.38</v>
      </c>
      <c r="C269" s="1">
        <v>8.84</v>
      </c>
      <c r="D269" s="1">
        <f>Tabelle1[[#This Row],[Gross Sales Price]]/1.18</f>
        <v>7.491525423728814</v>
      </c>
      <c r="E269" s="1">
        <f>Tabelle1[[#This Row],[Gross Sales Price]]*0.12</f>
        <v>1.0608</v>
      </c>
      <c r="F269" s="1">
        <v>0.4</v>
      </c>
      <c r="G269" s="1">
        <v>3</v>
      </c>
      <c r="H269" s="1">
        <v>2</v>
      </c>
      <c r="I269" s="2">
        <f>Tabelle1[[#This Row],[Base Price]]+Tabelle1[[#This Row],[Total Selling Costs
	]]+Tabelle1[[#This Row],[DHL Costs]]+Tabelle1[[#This Row],[Handling Costs]]+Tabelle1[[#This Row],[Fixed Costs]]</f>
        <v>12.8408</v>
      </c>
      <c r="J269" s="1">
        <f>Tabelle1[[#This Row],[Net Sales Price]]-Tabelle1[[#This Row],[Variable Costs]]</f>
        <v>-5.3492745762711857</v>
      </c>
    </row>
    <row r="270" spans="1:10" ht="14.25" customHeight="1" x14ac:dyDescent="0.25">
      <c r="A270" s="8" t="s">
        <v>278</v>
      </c>
      <c r="B270" s="1">
        <v>13.1</v>
      </c>
      <c r="C270" s="1">
        <v>7.8</v>
      </c>
      <c r="D270" s="1">
        <f>Tabelle1[[#This Row],[Gross Sales Price]]/1.18</f>
        <v>6.6101694915254239</v>
      </c>
      <c r="E270" s="1">
        <f>Tabelle1[[#This Row],[Gross Sales Price]]*0.12</f>
        <v>0.93599999999999994</v>
      </c>
      <c r="F270" s="1">
        <v>0.4</v>
      </c>
      <c r="G270" s="1">
        <v>3</v>
      </c>
      <c r="H270" s="1">
        <v>2</v>
      </c>
      <c r="I270" s="2">
        <f>Tabelle1[[#This Row],[Base Price]]+Tabelle1[[#This Row],[Total Selling Costs
	]]+Tabelle1[[#This Row],[DHL Costs]]+Tabelle1[[#This Row],[Handling Costs]]+Tabelle1[[#This Row],[Fixed Costs]]</f>
        <v>19.436</v>
      </c>
      <c r="J270" s="1">
        <f>Tabelle1[[#This Row],[Net Sales Price]]-Tabelle1[[#This Row],[Variable Costs]]</f>
        <v>-12.825830508474576</v>
      </c>
    </row>
    <row r="271" spans="1:10" ht="14.25" customHeight="1" x14ac:dyDescent="0.25">
      <c r="A271" s="8" t="s">
        <v>279</v>
      </c>
      <c r="B271" s="1">
        <v>12.98</v>
      </c>
      <c r="C271" s="1">
        <v>5.83</v>
      </c>
      <c r="D271" s="1">
        <f>Tabelle1[[#This Row],[Gross Sales Price]]/1.18</f>
        <v>4.9406779661016955</v>
      </c>
      <c r="E271" s="1">
        <f>Tabelle1[[#This Row],[Gross Sales Price]]*0.12</f>
        <v>0.6996</v>
      </c>
      <c r="F271" s="1">
        <v>0.4</v>
      </c>
      <c r="G271" s="1">
        <v>3</v>
      </c>
      <c r="H271" s="1">
        <v>2</v>
      </c>
      <c r="I271" s="2">
        <f>Tabelle1[[#This Row],[Base Price]]+Tabelle1[[#This Row],[Total Selling Costs
	]]+Tabelle1[[#This Row],[DHL Costs]]+Tabelle1[[#This Row],[Handling Costs]]+Tabelle1[[#This Row],[Fixed Costs]]</f>
        <v>19.079599999999999</v>
      </c>
      <c r="J271" s="1">
        <f>Tabelle1[[#This Row],[Net Sales Price]]-Tabelle1[[#This Row],[Variable Costs]]</f>
        <v>-14.138922033898304</v>
      </c>
    </row>
    <row r="272" spans="1:10" ht="14.25" customHeight="1" x14ac:dyDescent="0.25">
      <c r="A272" s="8" t="s">
        <v>280</v>
      </c>
      <c r="B272" s="1">
        <v>7.26</v>
      </c>
      <c r="C272" s="1">
        <v>37.880000000000003</v>
      </c>
      <c r="D272" s="1">
        <f>Tabelle1[[#This Row],[Gross Sales Price]]/1.18</f>
        <v>32.101694915254242</v>
      </c>
      <c r="E272" s="1">
        <f>Tabelle1[[#This Row],[Gross Sales Price]]*0.12</f>
        <v>4.5456000000000003</v>
      </c>
      <c r="F272" s="1">
        <v>0.4</v>
      </c>
      <c r="G272" s="1">
        <v>3</v>
      </c>
      <c r="H272" s="1">
        <v>2</v>
      </c>
      <c r="I272" s="2">
        <f>Tabelle1[[#This Row],[Base Price]]+Tabelle1[[#This Row],[Total Selling Costs
	]]+Tabelle1[[#This Row],[DHL Costs]]+Tabelle1[[#This Row],[Handling Costs]]+Tabelle1[[#This Row],[Fixed Costs]]</f>
        <v>17.205599999999997</v>
      </c>
      <c r="J272" s="1">
        <f>Tabelle1[[#This Row],[Net Sales Price]]-Tabelle1[[#This Row],[Variable Costs]]</f>
        <v>14.896094915254245</v>
      </c>
    </row>
    <row r="273" spans="1:10" ht="14.25" customHeight="1" x14ac:dyDescent="0.25">
      <c r="A273" s="8" t="s">
        <v>281</v>
      </c>
      <c r="B273" s="1">
        <v>8.14</v>
      </c>
      <c r="C273" s="1">
        <v>23.21</v>
      </c>
      <c r="D273" s="1">
        <f>Tabelle1[[#This Row],[Gross Sales Price]]/1.18</f>
        <v>19.66949152542373</v>
      </c>
      <c r="E273" s="1">
        <f>Tabelle1[[#This Row],[Gross Sales Price]]*0.12</f>
        <v>2.7852000000000001</v>
      </c>
      <c r="F273" s="1">
        <v>0.4</v>
      </c>
      <c r="G273" s="1">
        <v>3</v>
      </c>
      <c r="H273" s="1">
        <v>2</v>
      </c>
      <c r="I273" s="2">
        <f>Tabelle1[[#This Row],[Base Price]]+Tabelle1[[#This Row],[Total Selling Costs
	]]+Tabelle1[[#This Row],[DHL Costs]]+Tabelle1[[#This Row],[Handling Costs]]+Tabelle1[[#This Row],[Fixed Costs]]</f>
        <v>16.325199999999999</v>
      </c>
      <c r="J273" s="1">
        <f>Tabelle1[[#This Row],[Net Sales Price]]-Tabelle1[[#This Row],[Variable Costs]]</f>
        <v>3.3442915254237313</v>
      </c>
    </row>
    <row r="274" spans="1:10" ht="14.25" customHeight="1" x14ac:dyDescent="0.25">
      <c r="A274" s="8" t="s">
        <v>282</v>
      </c>
      <c r="B274" s="1">
        <v>12.17</v>
      </c>
      <c r="C274" s="1">
        <v>29.63</v>
      </c>
      <c r="D274" s="1">
        <f>Tabelle1[[#This Row],[Gross Sales Price]]/1.18</f>
        <v>25.110169491525426</v>
      </c>
      <c r="E274" s="1">
        <f>Tabelle1[[#This Row],[Gross Sales Price]]*0.12</f>
        <v>3.5555999999999996</v>
      </c>
      <c r="F274" s="1">
        <v>0.4</v>
      </c>
      <c r="G274" s="1">
        <v>3</v>
      </c>
      <c r="H274" s="1">
        <v>2</v>
      </c>
      <c r="I274" s="2">
        <f>Tabelle1[[#This Row],[Base Price]]+Tabelle1[[#This Row],[Total Selling Costs
	]]+Tabelle1[[#This Row],[DHL Costs]]+Tabelle1[[#This Row],[Handling Costs]]+Tabelle1[[#This Row],[Fixed Costs]]</f>
        <v>21.125599999999999</v>
      </c>
      <c r="J274" s="1">
        <f>Tabelle1[[#This Row],[Net Sales Price]]-Tabelle1[[#This Row],[Variable Costs]]</f>
        <v>3.9845694915254271</v>
      </c>
    </row>
    <row r="275" spans="1:10" ht="14.25" customHeight="1" x14ac:dyDescent="0.25">
      <c r="A275" s="8" t="s">
        <v>283</v>
      </c>
      <c r="B275" s="1">
        <v>3.65</v>
      </c>
      <c r="C275" s="1">
        <v>32.64</v>
      </c>
      <c r="D275" s="1">
        <f>Tabelle1[[#This Row],[Gross Sales Price]]/1.18</f>
        <v>27.661016949152543</v>
      </c>
      <c r="E275" s="1">
        <f>Tabelle1[[#This Row],[Gross Sales Price]]*0.12</f>
        <v>3.9167999999999998</v>
      </c>
      <c r="F275" s="1">
        <v>0.4</v>
      </c>
      <c r="G275" s="1">
        <v>3</v>
      </c>
      <c r="H275" s="1">
        <v>2</v>
      </c>
      <c r="I275" s="2">
        <f>Tabelle1[[#This Row],[Base Price]]+Tabelle1[[#This Row],[Total Selling Costs
	]]+Tabelle1[[#This Row],[DHL Costs]]+Tabelle1[[#This Row],[Handling Costs]]+Tabelle1[[#This Row],[Fixed Costs]]</f>
        <v>12.966800000000001</v>
      </c>
      <c r="J275" s="1">
        <f>Tabelle1[[#This Row],[Net Sales Price]]-Tabelle1[[#This Row],[Variable Costs]]</f>
        <v>14.694216949152542</v>
      </c>
    </row>
    <row r="276" spans="1:10" ht="14.25" customHeight="1" x14ac:dyDescent="0.25">
      <c r="A276" s="8" t="s">
        <v>284</v>
      </c>
      <c r="B276" s="1">
        <v>10.68</v>
      </c>
      <c r="C276" s="1">
        <v>32.090000000000003</v>
      </c>
      <c r="D276" s="1">
        <f>Tabelle1[[#This Row],[Gross Sales Price]]/1.18</f>
        <v>27.194915254237291</v>
      </c>
      <c r="E276" s="1">
        <f>Tabelle1[[#This Row],[Gross Sales Price]]*0.12</f>
        <v>3.8508000000000004</v>
      </c>
      <c r="F276" s="1">
        <v>0.4</v>
      </c>
      <c r="G276" s="1">
        <v>3</v>
      </c>
      <c r="H276" s="1">
        <v>2</v>
      </c>
      <c r="I276" s="2">
        <f>Tabelle1[[#This Row],[Base Price]]+Tabelle1[[#This Row],[Total Selling Costs
	]]+Tabelle1[[#This Row],[DHL Costs]]+Tabelle1[[#This Row],[Handling Costs]]+Tabelle1[[#This Row],[Fixed Costs]]</f>
        <v>19.930799999999998</v>
      </c>
      <c r="J276" s="1">
        <f>Tabelle1[[#This Row],[Net Sales Price]]-Tabelle1[[#This Row],[Variable Costs]]</f>
        <v>7.2641152542372929</v>
      </c>
    </row>
    <row r="277" spans="1:10" ht="14.25" customHeight="1" x14ac:dyDescent="0.25">
      <c r="A277" s="8" t="s">
        <v>285</v>
      </c>
      <c r="B277" s="1">
        <v>9.81</v>
      </c>
      <c r="C277" s="1">
        <v>20.2</v>
      </c>
      <c r="D277" s="1">
        <f>Tabelle1[[#This Row],[Gross Sales Price]]/1.18</f>
        <v>17.118644067796609</v>
      </c>
      <c r="E277" s="1">
        <f>Tabelle1[[#This Row],[Gross Sales Price]]*0.12</f>
        <v>2.4239999999999999</v>
      </c>
      <c r="F277" s="1">
        <v>0.4</v>
      </c>
      <c r="G277" s="1">
        <v>3</v>
      </c>
      <c r="H277" s="1">
        <v>2</v>
      </c>
      <c r="I277" s="2">
        <f>Tabelle1[[#This Row],[Base Price]]+Tabelle1[[#This Row],[Total Selling Costs
	]]+Tabelle1[[#This Row],[DHL Costs]]+Tabelle1[[#This Row],[Handling Costs]]+Tabelle1[[#This Row],[Fixed Costs]]</f>
        <v>17.634</v>
      </c>
      <c r="J277" s="1">
        <f>Tabelle1[[#This Row],[Net Sales Price]]-Tabelle1[[#This Row],[Variable Costs]]</f>
        <v>-0.51535593220339138</v>
      </c>
    </row>
    <row r="278" spans="1:10" ht="14.25" customHeight="1" x14ac:dyDescent="0.25">
      <c r="A278" s="8" t="s">
        <v>286</v>
      </c>
      <c r="B278" s="1">
        <v>1.83</v>
      </c>
      <c r="C278" s="1">
        <v>31.01</v>
      </c>
      <c r="D278" s="1">
        <f>Tabelle1[[#This Row],[Gross Sales Price]]/1.18</f>
        <v>26.279661016949156</v>
      </c>
      <c r="E278" s="1">
        <f>Tabelle1[[#This Row],[Gross Sales Price]]*0.12</f>
        <v>3.7212000000000001</v>
      </c>
      <c r="F278" s="1">
        <v>0.4</v>
      </c>
      <c r="G278" s="1">
        <v>3</v>
      </c>
      <c r="H278" s="1">
        <v>2</v>
      </c>
      <c r="I278" s="2">
        <f>Tabelle1[[#This Row],[Base Price]]+Tabelle1[[#This Row],[Total Selling Costs
	]]+Tabelle1[[#This Row],[DHL Costs]]+Tabelle1[[#This Row],[Handling Costs]]+Tabelle1[[#This Row],[Fixed Costs]]</f>
        <v>10.9512</v>
      </c>
      <c r="J278" s="1">
        <f>Tabelle1[[#This Row],[Net Sales Price]]-Tabelle1[[#This Row],[Variable Costs]]</f>
        <v>15.328461016949156</v>
      </c>
    </row>
    <row r="279" spans="1:10" ht="14.25" customHeight="1" x14ac:dyDescent="0.25">
      <c r="A279" s="8" t="s">
        <v>287</v>
      </c>
      <c r="B279" s="1">
        <v>3.47</v>
      </c>
      <c r="C279" s="1">
        <v>8.1199999999999992</v>
      </c>
      <c r="D279" s="1">
        <f>Tabelle1[[#This Row],[Gross Sales Price]]/1.18</f>
        <v>6.8813559322033893</v>
      </c>
      <c r="E279" s="1">
        <f>Tabelle1[[#This Row],[Gross Sales Price]]*0.12</f>
        <v>0.97439999999999982</v>
      </c>
      <c r="F279" s="1">
        <v>0.4</v>
      </c>
      <c r="G279" s="1">
        <v>3</v>
      </c>
      <c r="H279" s="1">
        <v>2</v>
      </c>
      <c r="I279" s="2">
        <f>Tabelle1[[#This Row],[Base Price]]+Tabelle1[[#This Row],[Total Selling Costs
	]]+Tabelle1[[#This Row],[DHL Costs]]+Tabelle1[[#This Row],[Handling Costs]]+Tabelle1[[#This Row],[Fixed Costs]]</f>
        <v>9.8444000000000003</v>
      </c>
      <c r="J279" s="1">
        <f>Tabelle1[[#This Row],[Net Sales Price]]-Tabelle1[[#This Row],[Variable Costs]]</f>
        <v>-2.963044067796611</v>
      </c>
    </row>
    <row r="280" spans="1:10" ht="14.25" customHeight="1" x14ac:dyDescent="0.25">
      <c r="A280" s="8" t="s">
        <v>288</v>
      </c>
      <c r="B280" s="1">
        <v>16.989999999999998</v>
      </c>
      <c r="C280" s="1">
        <v>3.13</v>
      </c>
      <c r="D280" s="1">
        <f>Tabelle1[[#This Row],[Gross Sales Price]]/1.18</f>
        <v>2.652542372881356</v>
      </c>
      <c r="E280" s="1">
        <f>Tabelle1[[#This Row],[Gross Sales Price]]*0.12</f>
        <v>0.37559999999999999</v>
      </c>
      <c r="F280" s="1">
        <v>0.4</v>
      </c>
      <c r="G280" s="1">
        <v>3</v>
      </c>
      <c r="H280" s="1">
        <v>2</v>
      </c>
      <c r="I280" s="2">
        <f>Tabelle1[[#This Row],[Base Price]]+Tabelle1[[#This Row],[Total Selling Costs
	]]+Tabelle1[[#This Row],[DHL Costs]]+Tabelle1[[#This Row],[Handling Costs]]+Tabelle1[[#This Row],[Fixed Costs]]</f>
        <v>22.765599999999996</v>
      </c>
      <c r="J280" s="1">
        <f>Tabelle1[[#This Row],[Net Sales Price]]-Tabelle1[[#This Row],[Variable Costs]]</f>
        <v>-20.113057627118639</v>
      </c>
    </row>
    <row r="281" spans="1:10" ht="14.25" customHeight="1" x14ac:dyDescent="0.25">
      <c r="A281" s="8" t="s">
        <v>289</v>
      </c>
      <c r="B281" s="1">
        <v>18.02</v>
      </c>
      <c r="C281" s="1">
        <v>5.59</v>
      </c>
      <c r="D281" s="1">
        <f>Tabelle1[[#This Row],[Gross Sales Price]]/1.18</f>
        <v>4.7372881355932206</v>
      </c>
      <c r="E281" s="1">
        <f>Tabelle1[[#This Row],[Gross Sales Price]]*0.12</f>
        <v>0.67079999999999995</v>
      </c>
      <c r="F281" s="1">
        <v>0.4</v>
      </c>
      <c r="G281" s="1">
        <v>3</v>
      </c>
      <c r="H281" s="1">
        <v>2</v>
      </c>
      <c r="I281" s="2">
        <f>Tabelle1[[#This Row],[Base Price]]+Tabelle1[[#This Row],[Total Selling Costs
	]]+Tabelle1[[#This Row],[DHL Costs]]+Tabelle1[[#This Row],[Handling Costs]]+Tabelle1[[#This Row],[Fixed Costs]]</f>
        <v>24.090799999999998</v>
      </c>
      <c r="J281" s="1">
        <f>Tabelle1[[#This Row],[Net Sales Price]]-Tabelle1[[#This Row],[Variable Costs]]</f>
        <v>-19.353511864406777</v>
      </c>
    </row>
    <row r="282" spans="1:10" ht="14.25" customHeight="1" x14ac:dyDescent="0.25">
      <c r="A282" s="8" t="s">
        <v>290</v>
      </c>
      <c r="B282" s="1">
        <v>8.84</v>
      </c>
      <c r="C282" s="1">
        <v>39.630000000000003</v>
      </c>
      <c r="D282" s="1">
        <f>Tabelle1[[#This Row],[Gross Sales Price]]/1.18</f>
        <v>33.584745762711869</v>
      </c>
      <c r="E282" s="1">
        <f>Tabelle1[[#This Row],[Gross Sales Price]]*0.12</f>
        <v>4.7556000000000003</v>
      </c>
      <c r="F282" s="1">
        <v>0.4</v>
      </c>
      <c r="G282" s="1">
        <v>3</v>
      </c>
      <c r="H282" s="1">
        <v>2</v>
      </c>
      <c r="I282" s="2">
        <f>Tabelle1[[#This Row],[Base Price]]+Tabelle1[[#This Row],[Total Selling Costs
	]]+Tabelle1[[#This Row],[DHL Costs]]+Tabelle1[[#This Row],[Handling Costs]]+Tabelle1[[#This Row],[Fixed Costs]]</f>
        <v>18.9956</v>
      </c>
      <c r="J282" s="1">
        <f>Tabelle1[[#This Row],[Net Sales Price]]-Tabelle1[[#This Row],[Variable Costs]]</f>
        <v>14.589145762711869</v>
      </c>
    </row>
    <row r="283" spans="1:10" ht="14.25" customHeight="1" x14ac:dyDescent="0.25">
      <c r="A283" s="8" t="s">
        <v>291</v>
      </c>
      <c r="B283" s="1">
        <v>14.84</v>
      </c>
      <c r="C283" s="1">
        <v>9.2100000000000009</v>
      </c>
      <c r="D283" s="1">
        <f>Tabelle1[[#This Row],[Gross Sales Price]]/1.18</f>
        <v>7.8050847457627128</v>
      </c>
      <c r="E283" s="1">
        <f>Tabelle1[[#This Row],[Gross Sales Price]]*0.12</f>
        <v>1.1052</v>
      </c>
      <c r="F283" s="1">
        <v>0.4</v>
      </c>
      <c r="G283" s="1">
        <v>3</v>
      </c>
      <c r="H283" s="1">
        <v>2</v>
      </c>
      <c r="I283" s="2">
        <f>Tabelle1[[#This Row],[Base Price]]+Tabelle1[[#This Row],[Total Selling Costs
	]]+Tabelle1[[#This Row],[DHL Costs]]+Tabelle1[[#This Row],[Handling Costs]]+Tabelle1[[#This Row],[Fixed Costs]]</f>
        <v>21.345199999999998</v>
      </c>
      <c r="J283" s="1">
        <f>Tabelle1[[#This Row],[Net Sales Price]]-Tabelle1[[#This Row],[Variable Costs]]</f>
        <v>-13.540115254237286</v>
      </c>
    </row>
    <row r="284" spans="1:10" ht="14.25" customHeight="1" x14ac:dyDescent="0.25">
      <c r="A284" s="8" t="s">
        <v>292</v>
      </c>
      <c r="B284" s="1">
        <v>7.27</v>
      </c>
      <c r="C284" s="1">
        <v>20.350000000000001</v>
      </c>
      <c r="D284" s="1">
        <f>Tabelle1[[#This Row],[Gross Sales Price]]/1.18</f>
        <v>17.245762711864408</v>
      </c>
      <c r="E284" s="1">
        <f>Tabelle1[[#This Row],[Gross Sales Price]]*0.12</f>
        <v>2.4420000000000002</v>
      </c>
      <c r="F284" s="1">
        <v>0.4</v>
      </c>
      <c r="G284" s="1">
        <v>3</v>
      </c>
      <c r="H284" s="1">
        <v>2</v>
      </c>
      <c r="I284" s="2">
        <f>Tabelle1[[#This Row],[Base Price]]+Tabelle1[[#This Row],[Total Selling Costs
	]]+Tabelle1[[#This Row],[DHL Costs]]+Tabelle1[[#This Row],[Handling Costs]]+Tabelle1[[#This Row],[Fixed Costs]]</f>
        <v>15.112</v>
      </c>
      <c r="J284" s="1">
        <f>Tabelle1[[#This Row],[Net Sales Price]]-Tabelle1[[#This Row],[Variable Costs]]</f>
        <v>2.1337627118644082</v>
      </c>
    </row>
    <row r="285" spans="1:10" ht="14.25" customHeight="1" x14ac:dyDescent="0.25">
      <c r="A285" s="8" t="s">
        <v>293</v>
      </c>
      <c r="B285" s="1">
        <v>1.05</v>
      </c>
      <c r="C285" s="1">
        <v>10.76</v>
      </c>
      <c r="D285" s="1">
        <f>Tabelle1[[#This Row],[Gross Sales Price]]/1.18</f>
        <v>9.1186440677966107</v>
      </c>
      <c r="E285" s="1">
        <f>Tabelle1[[#This Row],[Gross Sales Price]]*0.12</f>
        <v>1.2911999999999999</v>
      </c>
      <c r="F285" s="1">
        <v>0.4</v>
      </c>
      <c r="G285" s="1">
        <v>3</v>
      </c>
      <c r="H285" s="1">
        <v>2</v>
      </c>
      <c r="I285" s="2">
        <f>Tabelle1[[#This Row],[Base Price]]+Tabelle1[[#This Row],[Total Selling Costs
	]]+Tabelle1[[#This Row],[DHL Costs]]+Tabelle1[[#This Row],[Handling Costs]]+Tabelle1[[#This Row],[Fixed Costs]]</f>
        <v>7.7412000000000001</v>
      </c>
      <c r="J285" s="1">
        <f>Tabelle1[[#This Row],[Net Sales Price]]-Tabelle1[[#This Row],[Variable Costs]]</f>
        <v>1.3774440677966107</v>
      </c>
    </row>
    <row r="286" spans="1:10" ht="14.25" customHeight="1" x14ac:dyDescent="0.25">
      <c r="A286" s="8" t="s">
        <v>294</v>
      </c>
      <c r="B286" s="1">
        <v>10.44</v>
      </c>
      <c r="C286" s="1">
        <v>29.49</v>
      </c>
      <c r="D286" s="1">
        <f>Tabelle1[[#This Row],[Gross Sales Price]]/1.18</f>
        <v>24.991525423728813</v>
      </c>
      <c r="E286" s="1">
        <f>Tabelle1[[#This Row],[Gross Sales Price]]*0.12</f>
        <v>3.5387999999999997</v>
      </c>
      <c r="F286" s="1">
        <v>0.4</v>
      </c>
      <c r="G286" s="1">
        <v>3</v>
      </c>
      <c r="H286" s="1">
        <v>2</v>
      </c>
      <c r="I286" s="2">
        <f>Tabelle1[[#This Row],[Base Price]]+Tabelle1[[#This Row],[Total Selling Costs
	]]+Tabelle1[[#This Row],[DHL Costs]]+Tabelle1[[#This Row],[Handling Costs]]+Tabelle1[[#This Row],[Fixed Costs]]</f>
        <v>19.378799999999998</v>
      </c>
      <c r="J286" s="1">
        <f>Tabelle1[[#This Row],[Net Sales Price]]-Tabelle1[[#This Row],[Variable Costs]]</f>
        <v>5.6127254237288149</v>
      </c>
    </row>
    <row r="287" spans="1:10" ht="14.25" customHeight="1" x14ac:dyDescent="0.25">
      <c r="A287" s="8" t="s">
        <v>295</v>
      </c>
      <c r="B287" s="1">
        <v>5.18</v>
      </c>
      <c r="C287" s="1">
        <v>22.96</v>
      </c>
      <c r="D287" s="1">
        <f>Tabelle1[[#This Row],[Gross Sales Price]]/1.18</f>
        <v>19.457627118644069</v>
      </c>
      <c r="E287" s="1">
        <f>Tabelle1[[#This Row],[Gross Sales Price]]*0.12</f>
        <v>2.7551999999999999</v>
      </c>
      <c r="F287" s="1">
        <v>0.4</v>
      </c>
      <c r="G287" s="1">
        <v>3</v>
      </c>
      <c r="H287" s="1">
        <v>2</v>
      </c>
      <c r="I287" s="2">
        <f>Tabelle1[[#This Row],[Base Price]]+Tabelle1[[#This Row],[Total Selling Costs
	]]+Tabelle1[[#This Row],[DHL Costs]]+Tabelle1[[#This Row],[Handling Costs]]+Tabelle1[[#This Row],[Fixed Costs]]</f>
        <v>13.3352</v>
      </c>
      <c r="J287" s="1">
        <f>Tabelle1[[#This Row],[Net Sales Price]]-Tabelle1[[#This Row],[Variable Costs]]</f>
        <v>6.1224271186440689</v>
      </c>
    </row>
    <row r="288" spans="1:10" ht="14.25" customHeight="1" x14ac:dyDescent="0.25">
      <c r="A288" s="8" t="s">
        <v>296</v>
      </c>
      <c r="B288" s="1">
        <v>1.1599999999999999</v>
      </c>
      <c r="C288" s="1">
        <v>17.850000000000001</v>
      </c>
      <c r="D288" s="1">
        <f>Tabelle1[[#This Row],[Gross Sales Price]]/1.18</f>
        <v>15.127118644067799</v>
      </c>
      <c r="E288" s="1">
        <f>Tabelle1[[#This Row],[Gross Sales Price]]*0.12</f>
        <v>2.1419999999999999</v>
      </c>
      <c r="F288" s="1">
        <v>0.4</v>
      </c>
      <c r="G288" s="1">
        <v>3</v>
      </c>
      <c r="H288" s="1">
        <v>2</v>
      </c>
      <c r="I288" s="2">
        <f>Tabelle1[[#This Row],[Base Price]]+Tabelle1[[#This Row],[Total Selling Costs
	]]+Tabelle1[[#This Row],[DHL Costs]]+Tabelle1[[#This Row],[Handling Costs]]+Tabelle1[[#This Row],[Fixed Costs]]</f>
        <v>8.702</v>
      </c>
      <c r="J288" s="1">
        <f>Tabelle1[[#This Row],[Net Sales Price]]-Tabelle1[[#This Row],[Variable Costs]]</f>
        <v>6.4251186440677994</v>
      </c>
    </row>
    <row r="289" spans="1:10" ht="14.25" customHeight="1" x14ac:dyDescent="0.25">
      <c r="A289" s="8" t="s">
        <v>297</v>
      </c>
      <c r="B289" s="1">
        <v>15.33</v>
      </c>
      <c r="C289" s="1">
        <v>10.16</v>
      </c>
      <c r="D289" s="1">
        <f>Tabelle1[[#This Row],[Gross Sales Price]]/1.18</f>
        <v>8.6101694915254239</v>
      </c>
      <c r="E289" s="1">
        <f>Tabelle1[[#This Row],[Gross Sales Price]]*0.12</f>
        <v>1.2192000000000001</v>
      </c>
      <c r="F289" s="1">
        <v>0.4</v>
      </c>
      <c r="G289" s="1">
        <v>3</v>
      </c>
      <c r="H289" s="1">
        <v>2</v>
      </c>
      <c r="I289" s="2">
        <f>Tabelle1[[#This Row],[Base Price]]+Tabelle1[[#This Row],[Total Selling Costs
	]]+Tabelle1[[#This Row],[DHL Costs]]+Tabelle1[[#This Row],[Handling Costs]]+Tabelle1[[#This Row],[Fixed Costs]]</f>
        <v>21.949199999999998</v>
      </c>
      <c r="J289" s="1">
        <f>Tabelle1[[#This Row],[Net Sales Price]]-Tabelle1[[#This Row],[Variable Costs]]</f>
        <v>-13.339030508474574</v>
      </c>
    </row>
    <row r="290" spans="1:10" ht="14.25" customHeight="1" x14ac:dyDescent="0.25">
      <c r="A290" s="8" t="s">
        <v>298</v>
      </c>
      <c r="B290" s="1">
        <v>12.72</v>
      </c>
      <c r="C290" s="1">
        <v>7.44</v>
      </c>
      <c r="D290" s="1">
        <f>Tabelle1[[#This Row],[Gross Sales Price]]/1.18</f>
        <v>6.3050847457627128</v>
      </c>
      <c r="E290" s="1">
        <f>Tabelle1[[#This Row],[Gross Sales Price]]*0.12</f>
        <v>0.89280000000000004</v>
      </c>
      <c r="F290" s="1">
        <v>0.4</v>
      </c>
      <c r="G290" s="1">
        <v>3</v>
      </c>
      <c r="H290" s="1">
        <v>2</v>
      </c>
      <c r="I290" s="2">
        <f>Tabelle1[[#This Row],[Base Price]]+Tabelle1[[#This Row],[Total Selling Costs
	]]+Tabelle1[[#This Row],[DHL Costs]]+Tabelle1[[#This Row],[Handling Costs]]+Tabelle1[[#This Row],[Fixed Costs]]</f>
        <v>19.012799999999999</v>
      </c>
      <c r="J290" s="1">
        <f>Tabelle1[[#This Row],[Net Sales Price]]-Tabelle1[[#This Row],[Variable Costs]]</f>
        <v>-12.707715254237286</v>
      </c>
    </row>
    <row r="291" spans="1:10" ht="14.25" customHeight="1" x14ac:dyDescent="0.25">
      <c r="A291" s="8" t="s">
        <v>299</v>
      </c>
      <c r="B291" s="1">
        <v>5.86</v>
      </c>
      <c r="C291" s="1">
        <v>17.329999999999998</v>
      </c>
      <c r="D291" s="1">
        <f>Tabelle1[[#This Row],[Gross Sales Price]]/1.18</f>
        <v>14.6864406779661</v>
      </c>
      <c r="E291" s="1">
        <f>Tabelle1[[#This Row],[Gross Sales Price]]*0.12</f>
        <v>2.0795999999999997</v>
      </c>
      <c r="F291" s="1">
        <v>0.4</v>
      </c>
      <c r="G291" s="1">
        <v>3</v>
      </c>
      <c r="H291" s="1">
        <v>2</v>
      </c>
      <c r="I291" s="2">
        <f>Tabelle1[[#This Row],[Base Price]]+Tabelle1[[#This Row],[Total Selling Costs
	]]+Tabelle1[[#This Row],[DHL Costs]]+Tabelle1[[#This Row],[Handling Costs]]+Tabelle1[[#This Row],[Fixed Costs]]</f>
        <v>13.339600000000001</v>
      </c>
      <c r="J291" s="1">
        <f>Tabelle1[[#This Row],[Net Sales Price]]-Tabelle1[[#This Row],[Variable Costs]]</f>
        <v>1.3468406779660995</v>
      </c>
    </row>
    <row r="292" spans="1:10" ht="14.25" customHeight="1" x14ac:dyDescent="0.25">
      <c r="A292" s="8" t="s">
        <v>300</v>
      </c>
      <c r="B292" s="1">
        <v>17.97</v>
      </c>
      <c r="C292" s="1">
        <v>31.34</v>
      </c>
      <c r="D292" s="1">
        <f>Tabelle1[[#This Row],[Gross Sales Price]]/1.18</f>
        <v>26.559322033898308</v>
      </c>
      <c r="E292" s="1">
        <f>Tabelle1[[#This Row],[Gross Sales Price]]*0.12</f>
        <v>3.7607999999999997</v>
      </c>
      <c r="F292" s="1">
        <v>0.4</v>
      </c>
      <c r="G292" s="1">
        <v>3</v>
      </c>
      <c r="H292" s="1">
        <v>2</v>
      </c>
      <c r="I292" s="2">
        <f>Tabelle1[[#This Row],[Base Price]]+Tabelle1[[#This Row],[Total Selling Costs
	]]+Tabelle1[[#This Row],[DHL Costs]]+Tabelle1[[#This Row],[Handling Costs]]+Tabelle1[[#This Row],[Fixed Costs]]</f>
        <v>27.130799999999997</v>
      </c>
      <c r="J292" s="1">
        <f>Tabelle1[[#This Row],[Net Sales Price]]-Tabelle1[[#This Row],[Variable Costs]]</f>
        <v>-0.57147796610168911</v>
      </c>
    </row>
    <row r="293" spans="1:10" ht="14.25" customHeight="1" x14ac:dyDescent="0.25">
      <c r="A293" s="8" t="s">
        <v>301</v>
      </c>
      <c r="B293" s="1">
        <v>12.18</v>
      </c>
      <c r="C293" s="1">
        <v>15.5</v>
      </c>
      <c r="D293" s="1">
        <f>Tabelle1[[#This Row],[Gross Sales Price]]/1.18</f>
        <v>13.135593220338984</v>
      </c>
      <c r="E293" s="1">
        <f>Tabelle1[[#This Row],[Gross Sales Price]]*0.12</f>
        <v>1.8599999999999999</v>
      </c>
      <c r="F293" s="1">
        <v>0.4</v>
      </c>
      <c r="G293" s="1">
        <v>3</v>
      </c>
      <c r="H293" s="1">
        <v>2</v>
      </c>
      <c r="I293" s="2">
        <f>Tabelle1[[#This Row],[Base Price]]+Tabelle1[[#This Row],[Total Selling Costs
	]]+Tabelle1[[#This Row],[DHL Costs]]+Tabelle1[[#This Row],[Handling Costs]]+Tabelle1[[#This Row],[Fixed Costs]]</f>
        <v>19.439999999999998</v>
      </c>
      <c r="J293" s="1">
        <f>Tabelle1[[#This Row],[Net Sales Price]]-Tabelle1[[#This Row],[Variable Costs]]</f>
        <v>-6.3044067796610133</v>
      </c>
    </row>
    <row r="294" spans="1:10" ht="14.25" customHeight="1" x14ac:dyDescent="0.25">
      <c r="A294" s="8" t="s">
        <v>302</v>
      </c>
      <c r="B294" s="1">
        <v>18.41</v>
      </c>
      <c r="C294" s="1">
        <v>2.89</v>
      </c>
      <c r="D294" s="1">
        <f>Tabelle1[[#This Row],[Gross Sales Price]]/1.18</f>
        <v>2.4491525423728815</v>
      </c>
      <c r="E294" s="1">
        <f>Tabelle1[[#This Row],[Gross Sales Price]]*0.12</f>
        <v>0.3468</v>
      </c>
      <c r="F294" s="1">
        <v>0.4</v>
      </c>
      <c r="G294" s="1">
        <v>3</v>
      </c>
      <c r="H294" s="1">
        <v>2</v>
      </c>
      <c r="I294" s="2">
        <f>Tabelle1[[#This Row],[Base Price]]+Tabelle1[[#This Row],[Total Selling Costs
	]]+Tabelle1[[#This Row],[DHL Costs]]+Tabelle1[[#This Row],[Handling Costs]]+Tabelle1[[#This Row],[Fixed Costs]]</f>
        <v>24.156799999999997</v>
      </c>
      <c r="J294" s="1">
        <f>Tabelle1[[#This Row],[Net Sales Price]]-Tabelle1[[#This Row],[Variable Costs]]</f>
        <v>-21.707647457627115</v>
      </c>
    </row>
    <row r="295" spans="1:10" ht="14.25" customHeight="1" x14ac:dyDescent="0.25">
      <c r="A295" s="8" t="s">
        <v>303</v>
      </c>
      <c r="B295" s="1">
        <v>17.89</v>
      </c>
      <c r="C295" s="1">
        <v>17.97</v>
      </c>
      <c r="D295" s="1">
        <f>Tabelle1[[#This Row],[Gross Sales Price]]/1.18</f>
        <v>15.228813559322035</v>
      </c>
      <c r="E295" s="1">
        <f>Tabelle1[[#This Row],[Gross Sales Price]]*0.12</f>
        <v>2.1563999999999997</v>
      </c>
      <c r="F295" s="1">
        <v>0.4</v>
      </c>
      <c r="G295" s="1">
        <v>3</v>
      </c>
      <c r="H295" s="1">
        <v>2</v>
      </c>
      <c r="I295" s="2">
        <f>Tabelle1[[#This Row],[Base Price]]+Tabelle1[[#This Row],[Total Selling Costs
	]]+Tabelle1[[#This Row],[DHL Costs]]+Tabelle1[[#This Row],[Handling Costs]]+Tabelle1[[#This Row],[Fixed Costs]]</f>
        <v>25.446399999999997</v>
      </c>
      <c r="J295" s="1">
        <f>Tabelle1[[#This Row],[Net Sales Price]]-Tabelle1[[#This Row],[Variable Costs]]</f>
        <v>-10.217586440677962</v>
      </c>
    </row>
    <row r="296" spans="1:10" ht="14.25" customHeight="1" x14ac:dyDescent="0.25">
      <c r="A296" s="8" t="s">
        <v>304</v>
      </c>
      <c r="B296" s="1">
        <v>11.6</v>
      </c>
      <c r="C296" s="1">
        <v>21.52</v>
      </c>
      <c r="D296" s="1">
        <f>Tabelle1[[#This Row],[Gross Sales Price]]/1.18</f>
        <v>18.237288135593221</v>
      </c>
      <c r="E296" s="1">
        <f>Tabelle1[[#This Row],[Gross Sales Price]]*0.12</f>
        <v>2.5823999999999998</v>
      </c>
      <c r="F296" s="1">
        <v>0.4</v>
      </c>
      <c r="G296" s="1">
        <v>3</v>
      </c>
      <c r="H296" s="1">
        <v>2</v>
      </c>
      <c r="I296" s="2">
        <f>Tabelle1[[#This Row],[Base Price]]+Tabelle1[[#This Row],[Total Selling Costs
	]]+Tabelle1[[#This Row],[DHL Costs]]+Tabelle1[[#This Row],[Handling Costs]]+Tabelle1[[#This Row],[Fixed Costs]]</f>
        <v>19.5824</v>
      </c>
      <c r="J296" s="1">
        <f>Tabelle1[[#This Row],[Net Sales Price]]-Tabelle1[[#This Row],[Variable Costs]]</f>
        <v>-1.3451118644067783</v>
      </c>
    </row>
    <row r="297" spans="1:10" ht="14.25" customHeight="1" x14ac:dyDescent="0.25">
      <c r="A297" s="8" t="s">
        <v>305</v>
      </c>
      <c r="B297" s="1">
        <v>12.93</v>
      </c>
      <c r="C297" s="1">
        <v>4.41</v>
      </c>
      <c r="D297" s="1">
        <f>Tabelle1[[#This Row],[Gross Sales Price]]/1.18</f>
        <v>3.7372881355932206</v>
      </c>
      <c r="E297" s="1">
        <f>Tabelle1[[#This Row],[Gross Sales Price]]*0.12</f>
        <v>0.5292</v>
      </c>
      <c r="F297" s="1">
        <v>0.4</v>
      </c>
      <c r="G297" s="1">
        <v>3</v>
      </c>
      <c r="H297" s="1">
        <v>2</v>
      </c>
      <c r="I297" s="2">
        <f>Tabelle1[[#This Row],[Base Price]]+Tabelle1[[#This Row],[Total Selling Costs
	]]+Tabelle1[[#This Row],[DHL Costs]]+Tabelle1[[#This Row],[Handling Costs]]+Tabelle1[[#This Row],[Fixed Costs]]</f>
        <v>18.859199999999998</v>
      </c>
      <c r="J297" s="1">
        <f>Tabelle1[[#This Row],[Net Sales Price]]-Tabelle1[[#This Row],[Variable Costs]]</f>
        <v>-15.121911864406776</v>
      </c>
    </row>
    <row r="298" spans="1:10" ht="14.25" customHeight="1" x14ac:dyDescent="0.25">
      <c r="A298" s="8" t="s">
        <v>306</v>
      </c>
      <c r="B298" s="1">
        <v>10.51</v>
      </c>
      <c r="C298" s="1">
        <v>5.46</v>
      </c>
      <c r="D298" s="1">
        <f>Tabelle1[[#This Row],[Gross Sales Price]]/1.18</f>
        <v>4.6271186440677967</v>
      </c>
      <c r="E298" s="1">
        <f>Tabelle1[[#This Row],[Gross Sales Price]]*0.12</f>
        <v>0.6552</v>
      </c>
      <c r="F298" s="1">
        <v>0.4</v>
      </c>
      <c r="G298" s="1">
        <v>3</v>
      </c>
      <c r="H298" s="1">
        <v>2</v>
      </c>
      <c r="I298" s="2">
        <f>Tabelle1[[#This Row],[Base Price]]+Tabelle1[[#This Row],[Total Selling Costs
	]]+Tabelle1[[#This Row],[DHL Costs]]+Tabelle1[[#This Row],[Handling Costs]]+Tabelle1[[#This Row],[Fixed Costs]]</f>
        <v>16.565199999999997</v>
      </c>
      <c r="J298" s="1">
        <f>Tabelle1[[#This Row],[Net Sales Price]]-Tabelle1[[#This Row],[Variable Costs]]</f>
        <v>-11.938081355932201</v>
      </c>
    </row>
    <row r="299" spans="1:10" ht="14.25" customHeight="1" x14ac:dyDescent="0.25">
      <c r="A299" s="8" t="s">
        <v>307</v>
      </c>
      <c r="B299" s="1">
        <v>3.16</v>
      </c>
      <c r="C299" s="1">
        <v>16.12</v>
      </c>
      <c r="D299" s="1">
        <f>Tabelle1[[#This Row],[Gross Sales Price]]/1.18</f>
        <v>13.661016949152543</v>
      </c>
      <c r="E299" s="1">
        <f>Tabelle1[[#This Row],[Gross Sales Price]]*0.12</f>
        <v>1.9344000000000001</v>
      </c>
      <c r="F299" s="1">
        <v>0.4</v>
      </c>
      <c r="G299" s="1">
        <v>3</v>
      </c>
      <c r="H299" s="1">
        <v>2</v>
      </c>
      <c r="I299" s="2">
        <f>Tabelle1[[#This Row],[Base Price]]+Tabelle1[[#This Row],[Total Selling Costs
	]]+Tabelle1[[#This Row],[DHL Costs]]+Tabelle1[[#This Row],[Handling Costs]]+Tabelle1[[#This Row],[Fixed Costs]]</f>
        <v>10.494400000000001</v>
      </c>
      <c r="J299" s="1">
        <f>Tabelle1[[#This Row],[Net Sales Price]]-Tabelle1[[#This Row],[Variable Costs]]</f>
        <v>3.1666169491525427</v>
      </c>
    </row>
    <row r="300" spans="1:10" ht="14.25" customHeight="1" x14ac:dyDescent="0.25">
      <c r="A300" s="8" t="s">
        <v>308</v>
      </c>
      <c r="B300" s="1">
        <v>12.07</v>
      </c>
      <c r="C300" s="1">
        <v>10.97</v>
      </c>
      <c r="D300" s="1">
        <f>Tabelle1[[#This Row],[Gross Sales Price]]/1.18</f>
        <v>9.296610169491526</v>
      </c>
      <c r="E300" s="1">
        <f>Tabelle1[[#This Row],[Gross Sales Price]]*0.12</f>
        <v>1.3164</v>
      </c>
      <c r="F300" s="1">
        <v>0.4</v>
      </c>
      <c r="G300" s="1">
        <v>3</v>
      </c>
      <c r="H300" s="1">
        <v>2</v>
      </c>
      <c r="I300" s="2">
        <f>Tabelle1[[#This Row],[Base Price]]+Tabelle1[[#This Row],[Total Selling Costs
	]]+Tabelle1[[#This Row],[DHL Costs]]+Tabelle1[[#This Row],[Handling Costs]]+Tabelle1[[#This Row],[Fixed Costs]]</f>
        <v>18.7864</v>
      </c>
      <c r="J300" s="1">
        <f>Tabelle1[[#This Row],[Net Sales Price]]-Tabelle1[[#This Row],[Variable Costs]]</f>
        <v>-9.4897898305084745</v>
      </c>
    </row>
    <row r="301" spans="1:10" ht="14.25" customHeight="1" x14ac:dyDescent="0.25">
      <c r="A301" s="8" t="s">
        <v>309</v>
      </c>
      <c r="B301" s="1">
        <v>2.66</v>
      </c>
      <c r="C301" s="1">
        <v>27.61</v>
      </c>
      <c r="D301" s="1">
        <f>Tabelle1[[#This Row],[Gross Sales Price]]/1.18</f>
        <v>23.398305084745765</v>
      </c>
      <c r="E301" s="1">
        <f>Tabelle1[[#This Row],[Gross Sales Price]]*0.12</f>
        <v>3.3131999999999997</v>
      </c>
      <c r="F301" s="1">
        <v>0.4</v>
      </c>
      <c r="G301" s="1">
        <v>3</v>
      </c>
      <c r="H301" s="1">
        <v>2</v>
      </c>
      <c r="I301" s="2">
        <f>Tabelle1[[#This Row],[Base Price]]+Tabelle1[[#This Row],[Total Selling Costs
	]]+Tabelle1[[#This Row],[DHL Costs]]+Tabelle1[[#This Row],[Handling Costs]]+Tabelle1[[#This Row],[Fixed Costs]]</f>
        <v>11.373200000000001</v>
      </c>
      <c r="J301" s="1">
        <f>Tabelle1[[#This Row],[Net Sales Price]]-Tabelle1[[#This Row],[Variable Costs]]</f>
        <v>12.025105084745764</v>
      </c>
    </row>
    <row r="302" spans="1:10" ht="14.25" customHeight="1" x14ac:dyDescent="0.25">
      <c r="A302" s="8" t="s">
        <v>310</v>
      </c>
      <c r="B302" s="1">
        <v>19.5</v>
      </c>
      <c r="C302" s="1">
        <v>18.63</v>
      </c>
      <c r="D302" s="1">
        <f>Tabelle1[[#This Row],[Gross Sales Price]]/1.18</f>
        <v>15.788135593220339</v>
      </c>
      <c r="E302" s="1">
        <f>Tabelle1[[#This Row],[Gross Sales Price]]*0.12</f>
        <v>2.2355999999999998</v>
      </c>
      <c r="F302" s="1">
        <v>0.4</v>
      </c>
      <c r="G302" s="1">
        <v>3</v>
      </c>
      <c r="H302" s="1">
        <v>2</v>
      </c>
      <c r="I302" s="2">
        <f>Tabelle1[[#This Row],[Base Price]]+Tabelle1[[#This Row],[Total Selling Costs
	]]+Tabelle1[[#This Row],[DHL Costs]]+Tabelle1[[#This Row],[Handling Costs]]+Tabelle1[[#This Row],[Fixed Costs]]</f>
        <v>27.135599999999997</v>
      </c>
      <c r="J302" s="1">
        <f>Tabelle1[[#This Row],[Net Sales Price]]-Tabelle1[[#This Row],[Variable Costs]]</f>
        <v>-11.347464406779658</v>
      </c>
    </row>
    <row r="303" spans="1:10" ht="14.25" customHeight="1" x14ac:dyDescent="0.25">
      <c r="A303" s="8" t="s">
        <v>311</v>
      </c>
      <c r="B303" s="1">
        <v>10.88</v>
      </c>
      <c r="C303" s="1">
        <v>36.86</v>
      </c>
      <c r="D303" s="1">
        <f>Tabelle1[[#This Row],[Gross Sales Price]]/1.18</f>
        <v>31.237288135593221</v>
      </c>
      <c r="E303" s="1">
        <f>Tabelle1[[#This Row],[Gross Sales Price]]*0.12</f>
        <v>4.4231999999999996</v>
      </c>
      <c r="F303" s="1">
        <v>0.4</v>
      </c>
      <c r="G303" s="1">
        <v>3</v>
      </c>
      <c r="H303" s="1">
        <v>2</v>
      </c>
      <c r="I303" s="2">
        <f>Tabelle1[[#This Row],[Base Price]]+Tabelle1[[#This Row],[Total Selling Costs
	]]+Tabelle1[[#This Row],[DHL Costs]]+Tabelle1[[#This Row],[Handling Costs]]+Tabelle1[[#This Row],[Fixed Costs]]</f>
        <v>20.703199999999999</v>
      </c>
      <c r="J303" s="1">
        <f>Tabelle1[[#This Row],[Net Sales Price]]-Tabelle1[[#This Row],[Variable Costs]]</f>
        <v>10.534088135593223</v>
      </c>
    </row>
    <row r="304" spans="1:10" ht="14.25" customHeight="1" x14ac:dyDescent="0.25">
      <c r="A304" s="8" t="s">
        <v>312</v>
      </c>
      <c r="B304" s="1">
        <v>19.239999999999998</v>
      </c>
      <c r="C304" s="1">
        <v>1.21</v>
      </c>
      <c r="D304" s="1">
        <f>Tabelle1[[#This Row],[Gross Sales Price]]/1.18</f>
        <v>1.0254237288135593</v>
      </c>
      <c r="E304" s="1">
        <f>Tabelle1[[#This Row],[Gross Sales Price]]*0.12</f>
        <v>0.1452</v>
      </c>
      <c r="F304" s="1">
        <v>0.4</v>
      </c>
      <c r="G304" s="1">
        <v>3</v>
      </c>
      <c r="H304" s="1">
        <v>2</v>
      </c>
      <c r="I304" s="2">
        <f>Tabelle1[[#This Row],[Base Price]]+Tabelle1[[#This Row],[Total Selling Costs
	]]+Tabelle1[[#This Row],[DHL Costs]]+Tabelle1[[#This Row],[Handling Costs]]+Tabelle1[[#This Row],[Fixed Costs]]</f>
        <v>24.785199999999996</v>
      </c>
      <c r="J304" s="1">
        <f>Tabelle1[[#This Row],[Net Sales Price]]-Tabelle1[[#This Row],[Variable Costs]]</f>
        <v>-23.759776271186436</v>
      </c>
    </row>
    <row r="305" spans="1:10" ht="14.25" customHeight="1" x14ac:dyDescent="0.25">
      <c r="A305" s="8" t="s">
        <v>313</v>
      </c>
      <c r="B305" s="1">
        <v>6.93</v>
      </c>
      <c r="C305" s="1">
        <v>2.21</v>
      </c>
      <c r="D305" s="1">
        <f>Tabelle1[[#This Row],[Gross Sales Price]]/1.18</f>
        <v>1.8728813559322035</v>
      </c>
      <c r="E305" s="1">
        <f>Tabelle1[[#This Row],[Gross Sales Price]]*0.12</f>
        <v>0.26519999999999999</v>
      </c>
      <c r="F305" s="1">
        <v>0.4</v>
      </c>
      <c r="G305" s="1">
        <v>3</v>
      </c>
      <c r="H305" s="1">
        <v>2</v>
      </c>
      <c r="I305" s="2">
        <f>Tabelle1[[#This Row],[Base Price]]+Tabelle1[[#This Row],[Total Selling Costs
	]]+Tabelle1[[#This Row],[DHL Costs]]+Tabelle1[[#This Row],[Handling Costs]]+Tabelle1[[#This Row],[Fixed Costs]]</f>
        <v>12.5952</v>
      </c>
      <c r="J305" s="1">
        <f>Tabelle1[[#This Row],[Net Sales Price]]-Tabelle1[[#This Row],[Variable Costs]]</f>
        <v>-10.722318644067796</v>
      </c>
    </row>
    <row r="306" spans="1:10" ht="14.25" customHeight="1" x14ac:dyDescent="0.25">
      <c r="A306" s="8" t="s">
        <v>314</v>
      </c>
      <c r="B306" s="1">
        <v>17.86</v>
      </c>
      <c r="C306" s="1">
        <v>20.51</v>
      </c>
      <c r="D306" s="1">
        <f>Tabelle1[[#This Row],[Gross Sales Price]]/1.18</f>
        <v>17.381355932203391</v>
      </c>
      <c r="E306" s="1">
        <f>Tabelle1[[#This Row],[Gross Sales Price]]*0.12</f>
        <v>2.4612000000000003</v>
      </c>
      <c r="F306" s="1">
        <v>0.4</v>
      </c>
      <c r="G306" s="1">
        <v>3</v>
      </c>
      <c r="H306" s="1">
        <v>2</v>
      </c>
      <c r="I306" s="2">
        <f>Tabelle1[[#This Row],[Base Price]]+Tabelle1[[#This Row],[Total Selling Costs
	]]+Tabelle1[[#This Row],[DHL Costs]]+Tabelle1[[#This Row],[Handling Costs]]+Tabelle1[[#This Row],[Fixed Costs]]</f>
        <v>25.7212</v>
      </c>
      <c r="J306" s="1">
        <f>Tabelle1[[#This Row],[Net Sales Price]]-Tabelle1[[#This Row],[Variable Costs]]</f>
        <v>-8.3398440677966086</v>
      </c>
    </row>
    <row r="307" spans="1:10" ht="14.25" customHeight="1" x14ac:dyDescent="0.25">
      <c r="A307" s="8" t="s">
        <v>315</v>
      </c>
      <c r="B307" s="1">
        <v>6.68</v>
      </c>
      <c r="C307" s="1">
        <v>29.85</v>
      </c>
      <c r="D307" s="1">
        <f>Tabelle1[[#This Row],[Gross Sales Price]]/1.18</f>
        <v>25.29661016949153</v>
      </c>
      <c r="E307" s="1">
        <f>Tabelle1[[#This Row],[Gross Sales Price]]*0.12</f>
        <v>3.5819999999999999</v>
      </c>
      <c r="F307" s="1">
        <v>0.4</v>
      </c>
      <c r="G307" s="1">
        <v>3</v>
      </c>
      <c r="H307" s="1">
        <v>2</v>
      </c>
      <c r="I307" s="2">
        <f>Tabelle1[[#This Row],[Base Price]]+Tabelle1[[#This Row],[Total Selling Costs
	]]+Tabelle1[[#This Row],[DHL Costs]]+Tabelle1[[#This Row],[Handling Costs]]+Tabelle1[[#This Row],[Fixed Costs]]</f>
        <v>15.662000000000001</v>
      </c>
      <c r="J307" s="1">
        <f>Tabelle1[[#This Row],[Net Sales Price]]-Tabelle1[[#This Row],[Variable Costs]]</f>
        <v>9.6346101694915287</v>
      </c>
    </row>
    <row r="308" spans="1:10" ht="14.25" customHeight="1" x14ac:dyDescent="0.25">
      <c r="A308" s="8" t="s">
        <v>316</v>
      </c>
      <c r="B308" s="1">
        <v>3.26</v>
      </c>
      <c r="C308" s="1">
        <v>1.25</v>
      </c>
      <c r="D308" s="1">
        <f>Tabelle1[[#This Row],[Gross Sales Price]]/1.18</f>
        <v>1.0593220338983051</v>
      </c>
      <c r="E308" s="1">
        <f>Tabelle1[[#This Row],[Gross Sales Price]]*0.12</f>
        <v>0.15</v>
      </c>
      <c r="F308" s="1">
        <v>0.4</v>
      </c>
      <c r="G308" s="1">
        <v>3</v>
      </c>
      <c r="H308" s="1">
        <v>2</v>
      </c>
      <c r="I308" s="2">
        <f>Tabelle1[[#This Row],[Base Price]]+Tabelle1[[#This Row],[Total Selling Costs
	]]+Tabelle1[[#This Row],[DHL Costs]]+Tabelle1[[#This Row],[Handling Costs]]+Tabelle1[[#This Row],[Fixed Costs]]</f>
        <v>8.81</v>
      </c>
      <c r="J308" s="1">
        <f>Tabelle1[[#This Row],[Net Sales Price]]-Tabelle1[[#This Row],[Variable Costs]]</f>
        <v>-7.7506779661016951</v>
      </c>
    </row>
    <row r="309" spans="1:10" ht="14.25" customHeight="1" x14ac:dyDescent="0.25">
      <c r="A309" s="8" t="s">
        <v>317</v>
      </c>
      <c r="B309" s="1">
        <v>12.97</v>
      </c>
      <c r="C309" s="1">
        <v>5.54</v>
      </c>
      <c r="D309" s="1">
        <f>Tabelle1[[#This Row],[Gross Sales Price]]/1.18</f>
        <v>4.6949152542372881</v>
      </c>
      <c r="E309" s="1">
        <f>Tabelle1[[#This Row],[Gross Sales Price]]*0.12</f>
        <v>0.66479999999999995</v>
      </c>
      <c r="F309" s="1">
        <v>0.4</v>
      </c>
      <c r="G309" s="1">
        <v>3</v>
      </c>
      <c r="H309" s="1">
        <v>2</v>
      </c>
      <c r="I309" s="2">
        <f>Tabelle1[[#This Row],[Base Price]]+Tabelle1[[#This Row],[Total Selling Costs
	]]+Tabelle1[[#This Row],[DHL Costs]]+Tabelle1[[#This Row],[Handling Costs]]+Tabelle1[[#This Row],[Fixed Costs]]</f>
        <v>19.034799999999997</v>
      </c>
      <c r="J309" s="1">
        <f>Tabelle1[[#This Row],[Net Sales Price]]-Tabelle1[[#This Row],[Variable Costs]]</f>
        <v>-14.33988474576271</v>
      </c>
    </row>
    <row r="310" spans="1:10" ht="14.25" customHeight="1" x14ac:dyDescent="0.25">
      <c r="A310" s="8" t="s">
        <v>318</v>
      </c>
      <c r="B310" s="1">
        <v>4.42</v>
      </c>
      <c r="C310" s="1">
        <v>24.47</v>
      </c>
      <c r="D310" s="1">
        <f>Tabelle1[[#This Row],[Gross Sales Price]]/1.18</f>
        <v>20.737288135593221</v>
      </c>
      <c r="E310" s="1">
        <f>Tabelle1[[#This Row],[Gross Sales Price]]*0.12</f>
        <v>2.9363999999999999</v>
      </c>
      <c r="F310" s="1">
        <v>0.4</v>
      </c>
      <c r="G310" s="1">
        <v>3</v>
      </c>
      <c r="H310" s="1">
        <v>2</v>
      </c>
      <c r="I310" s="2">
        <f>Tabelle1[[#This Row],[Base Price]]+Tabelle1[[#This Row],[Total Selling Costs
	]]+Tabelle1[[#This Row],[DHL Costs]]+Tabelle1[[#This Row],[Handling Costs]]+Tabelle1[[#This Row],[Fixed Costs]]</f>
        <v>12.756400000000001</v>
      </c>
      <c r="J310" s="1">
        <f>Tabelle1[[#This Row],[Net Sales Price]]-Tabelle1[[#This Row],[Variable Costs]]</f>
        <v>7.9808881355932204</v>
      </c>
    </row>
    <row r="311" spans="1:10" ht="14.25" customHeight="1" x14ac:dyDescent="0.25">
      <c r="A311" s="8" t="s">
        <v>319</v>
      </c>
      <c r="B311" s="1">
        <v>14.02</v>
      </c>
      <c r="C311" s="1">
        <v>8.4</v>
      </c>
      <c r="D311" s="1">
        <f>Tabelle1[[#This Row],[Gross Sales Price]]/1.18</f>
        <v>7.1186440677966107</v>
      </c>
      <c r="E311" s="1">
        <f>Tabelle1[[#This Row],[Gross Sales Price]]*0.12</f>
        <v>1.008</v>
      </c>
      <c r="F311" s="1">
        <v>0.4</v>
      </c>
      <c r="G311" s="1">
        <v>3</v>
      </c>
      <c r="H311" s="1">
        <v>2</v>
      </c>
      <c r="I311" s="2">
        <f>Tabelle1[[#This Row],[Base Price]]+Tabelle1[[#This Row],[Total Selling Costs
	]]+Tabelle1[[#This Row],[DHL Costs]]+Tabelle1[[#This Row],[Handling Costs]]+Tabelle1[[#This Row],[Fixed Costs]]</f>
        <v>20.427999999999997</v>
      </c>
      <c r="J311" s="1">
        <f>Tabelle1[[#This Row],[Net Sales Price]]-Tabelle1[[#This Row],[Variable Costs]]</f>
        <v>-13.309355932203387</v>
      </c>
    </row>
    <row r="312" spans="1:10" ht="14.25" customHeight="1" x14ac:dyDescent="0.25">
      <c r="A312" s="8" t="s">
        <v>320</v>
      </c>
      <c r="B312" s="1">
        <v>17.96</v>
      </c>
      <c r="C312" s="1">
        <v>28.86</v>
      </c>
      <c r="D312" s="1">
        <f>Tabelle1[[#This Row],[Gross Sales Price]]/1.18</f>
        <v>24.457627118644069</v>
      </c>
      <c r="E312" s="1">
        <f>Tabelle1[[#This Row],[Gross Sales Price]]*0.12</f>
        <v>3.4631999999999996</v>
      </c>
      <c r="F312" s="1">
        <v>0.4</v>
      </c>
      <c r="G312" s="1">
        <v>3</v>
      </c>
      <c r="H312" s="1">
        <v>2</v>
      </c>
      <c r="I312" s="2">
        <f>Tabelle1[[#This Row],[Base Price]]+Tabelle1[[#This Row],[Total Selling Costs
	]]+Tabelle1[[#This Row],[DHL Costs]]+Tabelle1[[#This Row],[Handling Costs]]+Tabelle1[[#This Row],[Fixed Costs]]</f>
        <v>26.8232</v>
      </c>
      <c r="J312" s="1">
        <f>Tabelle1[[#This Row],[Net Sales Price]]-Tabelle1[[#This Row],[Variable Costs]]</f>
        <v>-2.3655728813559307</v>
      </c>
    </row>
    <row r="313" spans="1:10" ht="14.25" customHeight="1" x14ac:dyDescent="0.25">
      <c r="A313" s="8" t="s">
        <v>321</v>
      </c>
      <c r="B313" s="1">
        <v>13.39</v>
      </c>
      <c r="C313" s="1">
        <v>7.67</v>
      </c>
      <c r="D313" s="1">
        <f>Tabelle1[[#This Row],[Gross Sales Price]]/1.18</f>
        <v>6.5</v>
      </c>
      <c r="E313" s="1">
        <f>Tabelle1[[#This Row],[Gross Sales Price]]*0.12</f>
        <v>0.9204</v>
      </c>
      <c r="F313" s="1">
        <v>0.4</v>
      </c>
      <c r="G313" s="1">
        <v>3</v>
      </c>
      <c r="H313" s="1">
        <v>2</v>
      </c>
      <c r="I313" s="2">
        <f>Tabelle1[[#This Row],[Base Price]]+Tabelle1[[#This Row],[Total Selling Costs
	]]+Tabelle1[[#This Row],[DHL Costs]]+Tabelle1[[#This Row],[Handling Costs]]+Tabelle1[[#This Row],[Fixed Costs]]</f>
        <v>19.7104</v>
      </c>
      <c r="J313" s="1">
        <f>Tabelle1[[#This Row],[Net Sales Price]]-Tabelle1[[#This Row],[Variable Costs]]</f>
        <v>-13.2104</v>
      </c>
    </row>
    <row r="314" spans="1:10" ht="14.25" customHeight="1" x14ac:dyDescent="0.25">
      <c r="A314" s="8" t="s">
        <v>322</v>
      </c>
      <c r="B314" s="1">
        <v>14.18</v>
      </c>
      <c r="C314" s="1">
        <v>1.95</v>
      </c>
      <c r="D314" s="1">
        <f>Tabelle1[[#This Row],[Gross Sales Price]]/1.18</f>
        <v>1.652542372881356</v>
      </c>
      <c r="E314" s="1">
        <f>Tabelle1[[#This Row],[Gross Sales Price]]*0.12</f>
        <v>0.23399999999999999</v>
      </c>
      <c r="F314" s="1">
        <v>0.4</v>
      </c>
      <c r="G314" s="1">
        <v>3</v>
      </c>
      <c r="H314" s="1">
        <v>2</v>
      </c>
      <c r="I314" s="2">
        <f>Tabelle1[[#This Row],[Base Price]]+Tabelle1[[#This Row],[Total Selling Costs
	]]+Tabelle1[[#This Row],[DHL Costs]]+Tabelle1[[#This Row],[Handling Costs]]+Tabelle1[[#This Row],[Fixed Costs]]</f>
        <v>19.814</v>
      </c>
      <c r="J314" s="1">
        <f>Tabelle1[[#This Row],[Net Sales Price]]-Tabelle1[[#This Row],[Variable Costs]]</f>
        <v>-18.161457627118644</v>
      </c>
    </row>
    <row r="315" spans="1:10" ht="14.25" customHeight="1" x14ac:dyDescent="0.25">
      <c r="A315" s="8" t="s">
        <v>323</v>
      </c>
      <c r="B315" s="1">
        <v>14.05</v>
      </c>
      <c r="C315" s="1">
        <v>4.96</v>
      </c>
      <c r="D315" s="1">
        <f>Tabelle1[[#This Row],[Gross Sales Price]]/1.18</f>
        <v>4.2033898305084749</v>
      </c>
      <c r="E315" s="1">
        <f>Tabelle1[[#This Row],[Gross Sales Price]]*0.12</f>
        <v>0.59519999999999995</v>
      </c>
      <c r="F315" s="1">
        <v>0.4</v>
      </c>
      <c r="G315" s="1">
        <v>3</v>
      </c>
      <c r="H315" s="1">
        <v>2</v>
      </c>
      <c r="I315" s="2">
        <f>Tabelle1[[#This Row],[Base Price]]+Tabelle1[[#This Row],[Total Selling Costs
	]]+Tabelle1[[#This Row],[DHL Costs]]+Tabelle1[[#This Row],[Handling Costs]]+Tabelle1[[#This Row],[Fixed Costs]]</f>
        <v>20.045200000000001</v>
      </c>
      <c r="J315" s="1">
        <f>Tabelle1[[#This Row],[Net Sales Price]]-Tabelle1[[#This Row],[Variable Costs]]</f>
        <v>-15.841810169491527</v>
      </c>
    </row>
    <row r="316" spans="1:10" ht="14.25" customHeight="1" x14ac:dyDescent="0.25">
      <c r="A316" s="8" t="s">
        <v>324</v>
      </c>
      <c r="B316" s="1">
        <v>6.69</v>
      </c>
      <c r="C316" s="1">
        <v>36.57</v>
      </c>
      <c r="D316" s="1">
        <f>Tabelle1[[#This Row],[Gross Sales Price]]/1.18</f>
        <v>30.991525423728817</v>
      </c>
      <c r="E316" s="1">
        <f>Tabelle1[[#This Row],[Gross Sales Price]]*0.12</f>
        <v>4.3883999999999999</v>
      </c>
      <c r="F316" s="1">
        <v>0.4</v>
      </c>
      <c r="G316" s="1">
        <v>3</v>
      </c>
      <c r="H316" s="1">
        <v>2</v>
      </c>
      <c r="I316" s="2">
        <f>Tabelle1[[#This Row],[Base Price]]+Tabelle1[[#This Row],[Total Selling Costs
	]]+Tabelle1[[#This Row],[DHL Costs]]+Tabelle1[[#This Row],[Handling Costs]]+Tabelle1[[#This Row],[Fixed Costs]]</f>
        <v>16.478400000000001</v>
      </c>
      <c r="J316" s="1">
        <f>Tabelle1[[#This Row],[Net Sales Price]]-Tabelle1[[#This Row],[Variable Costs]]</f>
        <v>14.513125423728816</v>
      </c>
    </row>
    <row r="317" spans="1:10" ht="14.25" customHeight="1" x14ac:dyDescent="0.25">
      <c r="A317" s="8" t="s">
        <v>325</v>
      </c>
      <c r="B317" s="1">
        <v>18.25</v>
      </c>
      <c r="C317" s="1">
        <v>10.46</v>
      </c>
      <c r="D317" s="1">
        <f>Tabelle1[[#This Row],[Gross Sales Price]]/1.18</f>
        <v>8.8644067796610173</v>
      </c>
      <c r="E317" s="1">
        <f>Tabelle1[[#This Row],[Gross Sales Price]]*0.12</f>
        <v>1.2552000000000001</v>
      </c>
      <c r="F317" s="1">
        <v>0.4</v>
      </c>
      <c r="G317" s="1">
        <v>3</v>
      </c>
      <c r="H317" s="1">
        <v>2</v>
      </c>
      <c r="I317" s="2">
        <f>Tabelle1[[#This Row],[Base Price]]+Tabelle1[[#This Row],[Total Selling Costs
	]]+Tabelle1[[#This Row],[DHL Costs]]+Tabelle1[[#This Row],[Handling Costs]]+Tabelle1[[#This Row],[Fixed Costs]]</f>
        <v>24.905199999999997</v>
      </c>
      <c r="J317" s="1">
        <f>Tabelle1[[#This Row],[Net Sales Price]]-Tabelle1[[#This Row],[Variable Costs]]</f>
        <v>-16.04079322033898</v>
      </c>
    </row>
    <row r="318" spans="1:10" ht="14.25" customHeight="1" x14ac:dyDescent="0.25">
      <c r="A318" s="8" t="s">
        <v>326</v>
      </c>
      <c r="B318" s="1">
        <v>7.63</v>
      </c>
      <c r="C318" s="1">
        <v>31.82</v>
      </c>
      <c r="D318" s="1">
        <f>Tabelle1[[#This Row],[Gross Sales Price]]/1.18</f>
        <v>26.966101694915256</v>
      </c>
      <c r="E318" s="1">
        <f>Tabelle1[[#This Row],[Gross Sales Price]]*0.12</f>
        <v>3.8184</v>
      </c>
      <c r="F318" s="1">
        <v>0.4</v>
      </c>
      <c r="G318" s="1">
        <v>3</v>
      </c>
      <c r="H318" s="1">
        <v>2</v>
      </c>
      <c r="I318" s="2">
        <f>Tabelle1[[#This Row],[Base Price]]+Tabelle1[[#This Row],[Total Selling Costs
	]]+Tabelle1[[#This Row],[DHL Costs]]+Tabelle1[[#This Row],[Handling Costs]]+Tabelle1[[#This Row],[Fixed Costs]]</f>
        <v>16.848399999999998</v>
      </c>
      <c r="J318" s="1">
        <f>Tabelle1[[#This Row],[Net Sales Price]]-Tabelle1[[#This Row],[Variable Costs]]</f>
        <v>10.117701694915258</v>
      </c>
    </row>
    <row r="319" spans="1:10" ht="14.25" customHeight="1" x14ac:dyDescent="0.25">
      <c r="A319" s="8" t="s">
        <v>327</v>
      </c>
      <c r="B319" s="1">
        <v>3.49</v>
      </c>
      <c r="C319" s="1">
        <v>35.25</v>
      </c>
      <c r="D319" s="1">
        <f>Tabelle1[[#This Row],[Gross Sales Price]]/1.18</f>
        <v>29.872881355932204</v>
      </c>
      <c r="E319" s="1">
        <f>Tabelle1[[#This Row],[Gross Sales Price]]*0.12</f>
        <v>4.2299999999999995</v>
      </c>
      <c r="F319" s="1">
        <v>0.4</v>
      </c>
      <c r="G319" s="1">
        <v>3</v>
      </c>
      <c r="H319" s="1">
        <v>2</v>
      </c>
      <c r="I319" s="2">
        <f>Tabelle1[[#This Row],[Base Price]]+Tabelle1[[#This Row],[Total Selling Costs
	]]+Tabelle1[[#This Row],[DHL Costs]]+Tabelle1[[#This Row],[Handling Costs]]+Tabelle1[[#This Row],[Fixed Costs]]</f>
        <v>13.12</v>
      </c>
      <c r="J319" s="1">
        <f>Tabelle1[[#This Row],[Net Sales Price]]-Tabelle1[[#This Row],[Variable Costs]]</f>
        <v>16.752881355932203</v>
      </c>
    </row>
    <row r="320" spans="1:10" ht="14.25" customHeight="1" x14ac:dyDescent="0.25">
      <c r="A320" s="8" t="s">
        <v>328</v>
      </c>
      <c r="B320" s="1">
        <v>9.7899999999999991</v>
      </c>
      <c r="C320" s="1">
        <v>12.99</v>
      </c>
      <c r="D320" s="1">
        <f>Tabelle1[[#This Row],[Gross Sales Price]]/1.18</f>
        <v>11.008474576271187</v>
      </c>
      <c r="E320" s="1">
        <f>Tabelle1[[#This Row],[Gross Sales Price]]*0.12</f>
        <v>1.5588</v>
      </c>
      <c r="F320" s="1">
        <v>0.4</v>
      </c>
      <c r="G320" s="1">
        <v>3</v>
      </c>
      <c r="H320" s="1">
        <v>2</v>
      </c>
      <c r="I320" s="2">
        <f>Tabelle1[[#This Row],[Base Price]]+Tabelle1[[#This Row],[Total Selling Costs
	]]+Tabelle1[[#This Row],[DHL Costs]]+Tabelle1[[#This Row],[Handling Costs]]+Tabelle1[[#This Row],[Fixed Costs]]</f>
        <v>16.748799999999996</v>
      </c>
      <c r="J320" s="1">
        <f>Tabelle1[[#This Row],[Net Sales Price]]-Tabelle1[[#This Row],[Variable Costs]]</f>
        <v>-5.7403254237288088</v>
      </c>
    </row>
    <row r="321" spans="1:10" ht="14.25" customHeight="1" x14ac:dyDescent="0.25">
      <c r="A321" s="8" t="s">
        <v>329</v>
      </c>
      <c r="B321" s="1">
        <v>2.94</v>
      </c>
      <c r="C321" s="1">
        <v>14.86</v>
      </c>
      <c r="D321" s="1">
        <f>Tabelle1[[#This Row],[Gross Sales Price]]/1.18</f>
        <v>12.59322033898305</v>
      </c>
      <c r="E321" s="1">
        <f>Tabelle1[[#This Row],[Gross Sales Price]]*0.12</f>
        <v>1.7831999999999999</v>
      </c>
      <c r="F321" s="1">
        <v>0.4</v>
      </c>
      <c r="G321" s="1">
        <v>3</v>
      </c>
      <c r="H321" s="1">
        <v>2</v>
      </c>
      <c r="I321" s="2">
        <f>Tabelle1[[#This Row],[Base Price]]+Tabelle1[[#This Row],[Total Selling Costs
	]]+Tabelle1[[#This Row],[DHL Costs]]+Tabelle1[[#This Row],[Handling Costs]]+Tabelle1[[#This Row],[Fixed Costs]]</f>
        <v>10.123200000000001</v>
      </c>
      <c r="J321" s="1">
        <f>Tabelle1[[#This Row],[Net Sales Price]]-Tabelle1[[#This Row],[Variable Costs]]</f>
        <v>2.4700203389830495</v>
      </c>
    </row>
    <row r="322" spans="1:10" ht="14.25" customHeight="1" x14ac:dyDescent="0.25">
      <c r="A322" s="8" t="s">
        <v>330</v>
      </c>
      <c r="B322" s="1">
        <v>12.13</v>
      </c>
      <c r="C322" s="1">
        <v>9.84</v>
      </c>
      <c r="D322" s="1">
        <f>Tabelle1[[#This Row],[Gross Sales Price]]/1.18</f>
        <v>8.3389830508474585</v>
      </c>
      <c r="E322" s="1">
        <f>Tabelle1[[#This Row],[Gross Sales Price]]*0.12</f>
        <v>1.1807999999999998</v>
      </c>
      <c r="F322" s="1">
        <v>0.4</v>
      </c>
      <c r="G322" s="1">
        <v>3</v>
      </c>
      <c r="H322" s="1">
        <v>2</v>
      </c>
      <c r="I322" s="2">
        <f>Tabelle1[[#This Row],[Base Price]]+Tabelle1[[#This Row],[Total Selling Costs
	]]+Tabelle1[[#This Row],[DHL Costs]]+Tabelle1[[#This Row],[Handling Costs]]+Tabelle1[[#This Row],[Fixed Costs]]</f>
        <v>18.710799999999999</v>
      </c>
      <c r="J322" s="1">
        <f>Tabelle1[[#This Row],[Net Sales Price]]-Tabelle1[[#This Row],[Variable Costs]]</f>
        <v>-10.37181694915254</v>
      </c>
    </row>
    <row r="323" spans="1:10" ht="14.25" customHeight="1" x14ac:dyDescent="0.25">
      <c r="A323" s="8" t="s">
        <v>331</v>
      </c>
      <c r="B323" s="1">
        <v>7.15</v>
      </c>
      <c r="C323" s="1">
        <v>4.21</v>
      </c>
      <c r="D323" s="1">
        <f>Tabelle1[[#This Row],[Gross Sales Price]]/1.18</f>
        <v>3.5677966101694918</v>
      </c>
      <c r="E323" s="1">
        <f>Tabelle1[[#This Row],[Gross Sales Price]]*0.12</f>
        <v>0.50519999999999998</v>
      </c>
      <c r="F323" s="1">
        <v>0.4</v>
      </c>
      <c r="G323" s="1">
        <v>3</v>
      </c>
      <c r="H323" s="1">
        <v>2</v>
      </c>
      <c r="I323" s="2">
        <f>Tabelle1[[#This Row],[Base Price]]+Tabelle1[[#This Row],[Total Selling Costs
	]]+Tabelle1[[#This Row],[DHL Costs]]+Tabelle1[[#This Row],[Handling Costs]]+Tabelle1[[#This Row],[Fixed Costs]]</f>
        <v>13.055200000000001</v>
      </c>
      <c r="J323" s="1">
        <f>Tabelle1[[#This Row],[Net Sales Price]]-Tabelle1[[#This Row],[Variable Costs]]</f>
        <v>-9.4874033898305097</v>
      </c>
    </row>
    <row r="324" spans="1:10" ht="14.25" customHeight="1" x14ac:dyDescent="0.25">
      <c r="A324" s="8" t="s">
        <v>332</v>
      </c>
      <c r="B324" s="1">
        <v>1.55</v>
      </c>
      <c r="C324" s="1">
        <v>1.77</v>
      </c>
      <c r="D324" s="1">
        <f>Tabelle1[[#This Row],[Gross Sales Price]]/1.18</f>
        <v>1.5</v>
      </c>
      <c r="E324" s="1">
        <f>Tabelle1[[#This Row],[Gross Sales Price]]*0.12</f>
        <v>0.21240000000000001</v>
      </c>
      <c r="F324" s="1">
        <v>0.4</v>
      </c>
      <c r="G324" s="1">
        <v>3</v>
      </c>
      <c r="H324" s="1">
        <v>2</v>
      </c>
      <c r="I324" s="2">
        <f>Tabelle1[[#This Row],[Base Price]]+Tabelle1[[#This Row],[Total Selling Costs
	]]+Tabelle1[[#This Row],[DHL Costs]]+Tabelle1[[#This Row],[Handling Costs]]+Tabelle1[[#This Row],[Fixed Costs]]</f>
        <v>7.1623999999999999</v>
      </c>
      <c r="J324" s="1">
        <f>Tabelle1[[#This Row],[Net Sales Price]]-Tabelle1[[#This Row],[Variable Costs]]</f>
        <v>-5.6623999999999999</v>
      </c>
    </row>
    <row r="325" spans="1:10" ht="14.25" customHeight="1" x14ac:dyDescent="0.25">
      <c r="A325" s="8" t="s">
        <v>333</v>
      </c>
      <c r="B325" s="1">
        <v>14.99</v>
      </c>
      <c r="C325" s="1">
        <v>38.36</v>
      </c>
      <c r="D325" s="1">
        <f>Tabelle1[[#This Row],[Gross Sales Price]]/1.18</f>
        <v>32.50847457627119</v>
      </c>
      <c r="E325" s="1">
        <f>Tabelle1[[#This Row],[Gross Sales Price]]*0.12</f>
        <v>4.6032000000000002</v>
      </c>
      <c r="F325" s="1">
        <v>0.4</v>
      </c>
      <c r="G325" s="1">
        <v>3</v>
      </c>
      <c r="H325" s="1">
        <v>2</v>
      </c>
      <c r="I325" s="2">
        <f>Tabelle1[[#This Row],[Base Price]]+Tabelle1[[#This Row],[Total Selling Costs
	]]+Tabelle1[[#This Row],[DHL Costs]]+Tabelle1[[#This Row],[Handling Costs]]+Tabelle1[[#This Row],[Fixed Costs]]</f>
        <v>24.993199999999998</v>
      </c>
      <c r="J325" s="1">
        <f>Tabelle1[[#This Row],[Net Sales Price]]-Tabelle1[[#This Row],[Variable Costs]]</f>
        <v>7.5152745762711923</v>
      </c>
    </row>
    <row r="326" spans="1:10" ht="14.25" customHeight="1" x14ac:dyDescent="0.25">
      <c r="A326" s="8" t="s">
        <v>334</v>
      </c>
      <c r="B326" s="1">
        <v>17.059999999999999</v>
      </c>
      <c r="C326" s="1">
        <v>29.72</v>
      </c>
      <c r="D326" s="1">
        <f>Tabelle1[[#This Row],[Gross Sales Price]]/1.18</f>
        <v>25.1864406779661</v>
      </c>
      <c r="E326" s="1">
        <f>Tabelle1[[#This Row],[Gross Sales Price]]*0.12</f>
        <v>3.5663999999999998</v>
      </c>
      <c r="F326" s="1">
        <v>0.4</v>
      </c>
      <c r="G326" s="1">
        <v>3</v>
      </c>
      <c r="H326" s="1">
        <v>2</v>
      </c>
      <c r="I326" s="2">
        <f>Tabelle1[[#This Row],[Base Price]]+Tabelle1[[#This Row],[Total Selling Costs
	]]+Tabelle1[[#This Row],[DHL Costs]]+Tabelle1[[#This Row],[Handling Costs]]+Tabelle1[[#This Row],[Fixed Costs]]</f>
        <v>26.026399999999995</v>
      </c>
      <c r="J326" s="1">
        <f>Tabelle1[[#This Row],[Net Sales Price]]-Tabelle1[[#This Row],[Variable Costs]]</f>
        <v>-0.83995932203389501</v>
      </c>
    </row>
    <row r="327" spans="1:10" ht="14.25" customHeight="1" x14ac:dyDescent="0.25">
      <c r="A327" s="8" t="s">
        <v>335</v>
      </c>
      <c r="B327" s="1">
        <v>3.12</v>
      </c>
      <c r="C327" s="1">
        <v>25.01</v>
      </c>
      <c r="D327" s="1">
        <f>Tabelle1[[#This Row],[Gross Sales Price]]/1.18</f>
        <v>21.194915254237291</v>
      </c>
      <c r="E327" s="1">
        <f>Tabelle1[[#This Row],[Gross Sales Price]]*0.12</f>
        <v>3.0011999999999999</v>
      </c>
      <c r="F327" s="1">
        <v>0.4</v>
      </c>
      <c r="G327" s="1">
        <v>3</v>
      </c>
      <c r="H327" s="1">
        <v>2</v>
      </c>
      <c r="I327" s="2">
        <f>Tabelle1[[#This Row],[Base Price]]+Tabelle1[[#This Row],[Total Selling Costs
	]]+Tabelle1[[#This Row],[DHL Costs]]+Tabelle1[[#This Row],[Handling Costs]]+Tabelle1[[#This Row],[Fixed Costs]]</f>
        <v>11.5212</v>
      </c>
      <c r="J327" s="1">
        <f>Tabelle1[[#This Row],[Net Sales Price]]-Tabelle1[[#This Row],[Variable Costs]]</f>
        <v>9.6737152542372904</v>
      </c>
    </row>
    <row r="328" spans="1:10" ht="14.25" customHeight="1" x14ac:dyDescent="0.25">
      <c r="A328" s="8" t="s">
        <v>336</v>
      </c>
      <c r="B328" s="1">
        <v>2.81</v>
      </c>
      <c r="C328" s="1">
        <v>24.59</v>
      </c>
      <c r="D328" s="1">
        <f>Tabelle1[[#This Row],[Gross Sales Price]]/1.18</f>
        <v>20.83898305084746</v>
      </c>
      <c r="E328" s="1">
        <f>Tabelle1[[#This Row],[Gross Sales Price]]*0.12</f>
        <v>2.9508000000000001</v>
      </c>
      <c r="F328" s="1">
        <v>0.4</v>
      </c>
      <c r="G328" s="1">
        <v>3</v>
      </c>
      <c r="H328" s="1">
        <v>2</v>
      </c>
      <c r="I328" s="2">
        <f>Tabelle1[[#This Row],[Base Price]]+Tabelle1[[#This Row],[Total Selling Costs
	]]+Tabelle1[[#This Row],[DHL Costs]]+Tabelle1[[#This Row],[Handling Costs]]+Tabelle1[[#This Row],[Fixed Costs]]</f>
        <v>11.1608</v>
      </c>
      <c r="J328" s="1">
        <f>Tabelle1[[#This Row],[Net Sales Price]]-Tabelle1[[#This Row],[Variable Costs]]</f>
        <v>9.6781830508474602</v>
      </c>
    </row>
    <row r="329" spans="1:10" ht="14.25" customHeight="1" x14ac:dyDescent="0.25">
      <c r="A329" s="8" t="s">
        <v>337</v>
      </c>
      <c r="B329" s="1">
        <v>4.17</v>
      </c>
      <c r="C329" s="1">
        <v>8.85</v>
      </c>
      <c r="D329" s="1">
        <f>Tabelle1[[#This Row],[Gross Sales Price]]/1.18</f>
        <v>7.5</v>
      </c>
      <c r="E329" s="1">
        <f>Tabelle1[[#This Row],[Gross Sales Price]]*0.12</f>
        <v>1.0619999999999998</v>
      </c>
      <c r="F329" s="1">
        <v>0.4</v>
      </c>
      <c r="G329" s="1">
        <v>3</v>
      </c>
      <c r="H329" s="1">
        <v>2</v>
      </c>
      <c r="I329" s="2">
        <f>Tabelle1[[#This Row],[Base Price]]+Tabelle1[[#This Row],[Total Selling Costs
	]]+Tabelle1[[#This Row],[DHL Costs]]+Tabelle1[[#This Row],[Handling Costs]]+Tabelle1[[#This Row],[Fixed Costs]]</f>
        <v>10.632</v>
      </c>
      <c r="J329" s="1">
        <f>Tabelle1[[#This Row],[Net Sales Price]]-Tabelle1[[#This Row],[Variable Costs]]</f>
        <v>-3.1319999999999997</v>
      </c>
    </row>
    <row r="330" spans="1:10" ht="14.25" customHeight="1" x14ac:dyDescent="0.25">
      <c r="A330" s="8" t="s">
        <v>338</v>
      </c>
      <c r="B330" s="1">
        <v>19.54</v>
      </c>
      <c r="C330" s="1">
        <v>4.12</v>
      </c>
      <c r="D330" s="1">
        <f>Tabelle1[[#This Row],[Gross Sales Price]]/1.18</f>
        <v>3.491525423728814</v>
      </c>
      <c r="E330" s="1">
        <f>Tabelle1[[#This Row],[Gross Sales Price]]*0.12</f>
        <v>0.49440000000000001</v>
      </c>
      <c r="F330" s="1">
        <v>0.4</v>
      </c>
      <c r="G330" s="1">
        <v>3</v>
      </c>
      <c r="H330" s="1">
        <v>2</v>
      </c>
      <c r="I330" s="2">
        <f>Tabelle1[[#This Row],[Base Price]]+Tabelle1[[#This Row],[Total Selling Costs
	]]+Tabelle1[[#This Row],[DHL Costs]]+Tabelle1[[#This Row],[Handling Costs]]+Tabelle1[[#This Row],[Fixed Costs]]</f>
        <v>25.434399999999997</v>
      </c>
      <c r="J330" s="1">
        <f>Tabelle1[[#This Row],[Net Sales Price]]-Tabelle1[[#This Row],[Variable Costs]]</f>
        <v>-21.942874576271183</v>
      </c>
    </row>
    <row r="331" spans="1:10" ht="14.25" customHeight="1" x14ac:dyDescent="0.25">
      <c r="A331" s="8" t="s">
        <v>339</v>
      </c>
      <c r="B331" s="1">
        <v>1.37</v>
      </c>
      <c r="C331" s="1">
        <v>36.68</v>
      </c>
      <c r="D331" s="1">
        <f>Tabelle1[[#This Row],[Gross Sales Price]]/1.18</f>
        <v>31.084745762711865</v>
      </c>
      <c r="E331" s="1">
        <f>Tabelle1[[#This Row],[Gross Sales Price]]*0.12</f>
        <v>4.4016000000000002</v>
      </c>
      <c r="F331" s="1">
        <v>0.4</v>
      </c>
      <c r="G331" s="1">
        <v>3</v>
      </c>
      <c r="H331" s="1">
        <v>2</v>
      </c>
      <c r="I331" s="2">
        <f>Tabelle1[[#This Row],[Base Price]]+Tabelle1[[#This Row],[Total Selling Costs
	]]+Tabelle1[[#This Row],[DHL Costs]]+Tabelle1[[#This Row],[Handling Costs]]+Tabelle1[[#This Row],[Fixed Costs]]</f>
        <v>11.1716</v>
      </c>
      <c r="J331" s="1">
        <f>Tabelle1[[#This Row],[Net Sales Price]]-Tabelle1[[#This Row],[Variable Costs]]</f>
        <v>19.913145762711864</v>
      </c>
    </row>
    <row r="332" spans="1:10" ht="14.25" customHeight="1" x14ac:dyDescent="0.25">
      <c r="A332" s="8" t="s">
        <v>340</v>
      </c>
      <c r="B332" s="1">
        <v>1.33</v>
      </c>
      <c r="C332" s="1">
        <v>25.98</v>
      </c>
      <c r="D332" s="1">
        <f>Tabelle1[[#This Row],[Gross Sales Price]]/1.18</f>
        <v>22.016949152542374</v>
      </c>
      <c r="E332" s="1">
        <f>Tabelle1[[#This Row],[Gross Sales Price]]*0.12</f>
        <v>3.1175999999999999</v>
      </c>
      <c r="F332" s="1">
        <v>0.4</v>
      </c>
      <c r="G332" s="1">
        <v>3</v>
      </c>
      <c r="H332" s="1">
        <v>2</v>
      </c>
      <c r="I332" s="2">
        <f>Tabelle1[[#This Row],[Base Price]]+Tabelle1[[#This Row],[Total Selling Costs
	]]+Tabelle1[[#This Row],[DHL Costs]]+Tabelle1[[#This Row],[Handling Costs]]+Tabelle1[[#This Row],[Fixed Costs]]</f>
        <v>9.8475999999999999</v>
      </c>
      <c r="J332" s="1">
        <f>Tabelle1[[#This Row],[Net Sales Price]]-Tabelle1[[#This Row],[Variable Costs]]</f>
        <v>12.169349152542374</v>
      </c>
    </row>
    <row r="333" spans="1:10" ht="14.25" customHeight="1" x14ac:dyDescent="0.25">
      <c r="A333" s="8" t="s">
        <v>341</v>
      </c>
      <c r="B333" s="1">
        <v>2.2000000000000002</v>
      </c>
      <c r="C333" s="1">
        <v>37.97</v>
      </c>
      <c r="D333" s="1">
        <f>Tabelle1[[#This Row],[Gross Sales Price]]/1.18</f>
        <v>32.177966101694913</v>
      </c>
      <c r="E333" s="1">
        <f>Tabelle1[[#This Row],[Gross Sales Price]]*0.12</f>
        <v>4.5564</v>
      </c>
      <c r="F333" s="1">
        <v>0.4</v>
      </c>
      <c r="G333" s="1">
        <v>3</v>
      </c>
      <c r="H333" s="1">
        <v>2</v>
      </c>
      <c r="I333" s="2">
        <f>Tabelle1[[#This Row],[Base Price]]+Tabelle1[[#This Row],[Total Selling Costs
	]]+Tabelle1[[#This Row],[DHL Costs]]+Tabelle1[[#This Row],[Handling Costs]]+Tabelle1[[#This Row],[Fixed Costs]]</f>
        <v>12.1564</v>
      </c>
      <c r="J333" s="1">
        <f>Tabelle1[[#This Row],[Net Sales Price]]-Tabelle1[[#This Row],[Variable Costs]]</f>
        <v>20.021566101694916</v>
      </c>
    </row>
    <row r="334" spans="1:10" ht="14.25" customHeight="1" x14ac:dyDescent="0.25">
      <c r="A334" s="8" t="s">
        <v>342</v>
      </c>
      <c r="B334" s="1">
        <v>11.25</v>
      </c>
      <c r="C334" s="1">
        <v>34.31</v>
      </c>
      <c r="D334" s="1">
        <f>Tabelle1[[#This Row],[Gross Sales Price]]/1.18</f>
        <v>29.076271186440682</v>
      </c>
      <c r="E334" s="1">
        <f>Tabelle1[[#This Row],[Gross Sales Price]]*0.12</f>
        <v>4.1172000000000004</v>
      </c>
      <c r="F334" s="1">
        <v>0.4</v>
      </c>
      <c r="G334" s="1">
        <v>3</v>
      </c>
      <c r="H334" s="1">
        <v>2</v>
      </c>
      <c r="I334" s="2">
        <f>Tabelle1[[#This Row],[Base Price]]+Tabelle1[[#This Row],[Total Selling Costs
	]]+Tabelle1[[#This Row],[DHL Costs]]+Tabelle1[[#This Row],[Handling Costs]]+Tabelle1[[#This Row],[Fixed Costs]]</f>
        <v>20.767199999999999</v>
      </c>
      <c r="J334" s="1">
        <f>Tabelle1[[#This Row],[Net Sales Price]]-Tabelle1[[#This Row],[Variable Costs]]</f>
        <v>8.3090711864406828</v>
      </c>
    </row>
    <row r="335" spans="1:10" ht="14.25" customHeight="1" x14ac:dyDescent="0.25">
      <c r="A335" s="8" t="s">
        <v>343</v>
      </c>
      <c r="B335" s="1">
        <v>9.86</v>
      </c>
      <c r="C335" s="1">
        <v>12.53</v>
      </c>
      <c r="D335" s="1">
        <f>Tabelle1[[#This Row],[Gross Sales Price]]/1.18</f>
        <v>10.618644067796611</v>
      </c>
      <c r="E335" s="1">
        <f>Tabelle1[[#This Row],[Gross Sales Price]]*0.12</f>
        <v>1.5035999999999998</v>
      </c>
      <c r="F335" s="1">
        <v>0.4</v>
      </c>
      <c r="G335" s="1">
        <v>3</v>
      </c>
      <c r="H335" s="1">
        <v>2</v>
      </c>
      <c r="I335" s="2">
        <f>Tabelle1[[#This Row],[Base Price]]+Tabelle1[[#This Row],[Total Selling Costs
	]]+Tabelle1[[#This Row],[DHL Costs]]+Tabelle1[[#This Row],[Handling Costs]]+Tabelle1[[#This Row],[Fixed Costs]]</f>
        <v>16.763599999999997</v>
      </c>
      <c r="J335" s="1">
        <f>Tabelle1[[#This Row],[Net Sales Price]]-Tabelle1[[#This Row],[Variable Costs]]</f>
        <v>-6.144955932203386</v>
      </c>
    </row>
    <row r="336" spans="1:10" ht="14.25" customHeight="1" x14ac:dyDescent="0.25">
      <c r="A336" s="8" t="s">
        <v>344</v>
      </c>
      <c r="B336" s="1">
        <v>8.5299999999999994</v>
      </c>
      <c r="C336" s="1">
        <v>7.14</v>
      </c>
      <c r="D336" s="1">
        <f>Tabelle1[[#This Row],[Gross Sales Price]]/1.18</f>
        <v>6.0508474576271185</v>
      </c>
      <c r="E336" s="1">
        <f>Tabelle1[[#This Row],[Gross Sales Price]]*0.12</f>
        <v>0.8567999999999999</v>
      </c>
      <c r="F336" s="1">
        <v>0.4</v>
      </c>
      <c r="G336" s="1">
        <v>3</v>
      </c>
      <c r="H336" s="1">
        <v>2</v>
      </c>
      <c r="I336" s="2">
        <f>Tabelle1[[#This Row],[Base Price]]+Tabelle1[[#This Row],[Total Selling Costs
	]]+Tabelle1[[#This Row],[DHL Costs]]+Tabelle1[[#This Row],[Handling Costs]]+Tabelle1[[#This Row],[Fixed Costs]]</f>
        <v>14.786799999999999</v>
      </c>
      <c r="J336" s="1">
        <f>Tabelle1[[#This Row],[Net Sales Price]]-Tabelle1[[#This Row],[Variable Costs]]</f>
        <v>-8.7359525423728819</v>
      </c>
    </row>
    <row r="337" spans="1:10" ht="14.25" customHeight="1" x14ac:dyDescent="0.25">
      <c r="A337" s="8" t="s">
        <v>345</v>
      </c>
      <c r="B337" s="1">
        <v>5.14</v>
      </c>
      <c r="C337" s="1">
        <v>28.29</v>
      </c>
      <c r="D337" s="1">
        <f>Tabelle1[[#This Row],[Gross Sales Price]]/1.18</f>
        <v>23.974576271186443</v>
      </c>
      <c r="E337" s="1">
        <f>Tabelle1[[#This Row],[Gross Sales Price]]*0.12</f>
        <v>3.3947999999999996</v>
      </c>
      <c r="F337" s="1">
        <v>0.4</v>
      </c>
      <c r="G337" s="1">
        <v>3</v>
      </c>
      <c r="H337" s="1">
        <v>2</v>
      </c>
      <c r="I337" s="2">
        <f>Tabelle1[[#This Row],[Base Price]]+Tabelle1[[#This Row],[Total Selling Costs
	]]+Tabelle1[[#This Row],[DHL Costs]]+Tabelle1[[#This Row],[Handling Costs]]+Tabelle1[[#This Row],[Fixed Costs]]</f>
        <v>13.934799999999999</v>
      </c>
      <c r="J337" s="1">
        <f>Tabelle1[[#This Row],[Net Sales Price]]-Tabelle1[[#This Row],[Variable Costs]]</f>
        <v>10.039776271186444</v>
      </c>
    </row>
    <row r="338" spans="1:10" ht="14.25" customHeight="1" x14ac:dyDescent="0.25">
      <c r="A338" s="8" t="s">
        <v>346</v>
      </c>
      <c r="B338" s="1">
        <v>3.06</v>
      </c>
      <c r="C338" s="1">
        <v>2.61</v>
      </c>
      <c r="D338" s="1">
        <f>Tabelle1[[#This Row],[Gross Sales Price]]/1.18</f>
        <v>2.2118644067796609</v>
      </c>
      <c r="E338" s="1">
        <f>Tabelle1[[#This Row],[Gross Sales Price]]*0.12</f>
        <v>0.31319999999999998</v>
      </c>
      <c r="F338" s="1">
        <v>0.4</v>
      </c>
      <c r="G338" s="1">
        <v>3</v>
      </c>
      <c r="H338" s="1">
        <v>2</v>
      </c>
      <c r="I338" s="2">
        <f>Tabelle1[[#This Row],[Base Price]]+Tabelle1[[#This Row],[Total Selling Costs
	]]+Tabelle1[[#This Row],[DHL Costs]]+Tabelle1[[#This Row],[Handling Costs]]+Tabelle1[[#This Row],[Fixed Costs]]</f>
        <v>8.773200000000001</v>
      </c>
      <c r="J338" s="1">
        <f>Tabelle1[[#This Row],[Net Sales Price]]-Tabelle1[[#This Row],[Variable Costs]]</f>
        <v>-6.5613355932203401</v>
      </c>
    </row>
    <row r="339" spans="1:10" ht="14.25" customHeight="1" x14ac:dyDescent="0.25">
      <c r="A339" s="8" t="s">
        <v>347</v>
      </c>
      <c r="B339" s="1">
        <v>14.89</v>
      </c>
      <c r="C339" s="1">
        <v>11.06</v>
      </c>
      <c r="D339" s="1">
        <f>Tabelle1[[#This Row],[Gross Sales Price]]/1.18</f>
        <v>9.3728813559322042</v>
      </c>
      <c r="E339" s="1">
        <f>Tabelle1[[#This Row],[Gross Sales Price]]*0.12</f>
        <v>1.3271999999999999</v>
      </c>
      <c r="F339" s="1">
        <v>0.4</v>
      </c>
      <c r="G339" s="1">
        <v>3</v>
      </c>
      <c r="H339" s="1">
        <v>2</v>
      </c>
      <c r="I339" s="2">
        <f>Tabelle1[[#This Row],[Base Price]]+Tabelle1[[#This Row],[Total Selling Costs
	]]+Tabelle1[[#This Row],[DHL Costs]]+Tabelle1[[#This Row],[Handling Costs]]+Tabelle1[[#This Row],[Fixed Costs]]</f>
        <v>21.6172</v>
      </c>
      <c r="J339" s="1">
        <f>Tabelle1[[#This Row],[Net Sales Price]]-Tabelle1[[#This Row],[Variable Costs]]</f>
        <v>-12.244318644067796</v>
      </c>
    </row>
    <row r="340" spans="1:10" ht="14.25" customHeight="1" x14ac:dyDescent="0.25">
      <c r="A340" s="8" t="s">
        <v>348</v>
      </c>
      <c r="B340" s="1">
        <v>14.8</v>
      </c>
      <c r="C340" s="1">
        <v>13.67</v>
      </c>
      <c r="D340" s="1">
        <f>Tabelle1[[#This Row],[Gross Sales Price]]/1.18</f>
        <v>11.584745762711865</v>
      </c>
      <c r="E340" s="1">
        <f>Tabelle1[[#This Row],[Gross Sales Price]]*0.12</f>
        <v>1.6403999999999999</v>
      </c>
      <c r="F340" s="1">
        <v>0.4</v>
      </c>
      <c r="G340" s="1">
        <v>3</v>
      </c>
      <c r="H340" s="1">
        <v>2</v>
      </c>
      <c r="I340" s="2">
        <f>Tabelle1[[#This Row],[Base Price]]+Tabelle1[[#This Row],[Total Selling Costs
	]]+Tabelle1[[#This Row],[DHL Costs]]+Tabelle1[[#This Row],[Handling Costs]]+Tabelle1[[#This Row],[Fixed Costs]]</f>
        <v>21.840399999999999</v>
      </c>
      <c r="J340" s="1">
        <f>Tabelle1[[#This Row],[Net Sales Price]]-Tabelle1[[#This Row],[Variable Costs]]</f>
        <v>-10.255654237288134</v>
      </c>
    </row>
    <row r="341" spans="1:10" ht="14.25" customHeight="1" x14ac:dyDescent="0.25">
      <c r="A341" s="8" t="s">
        <v>349</v>
      </c>
      <c r="B341" s="1">
        <v>5.97</v>
      </c>
      <c r="C341" s="1">
        <v>16.32</v>
      </c>
      <c r="D341" s="1">
        <f>Tabelle1[[#This Row],[Gross Sales Price]]/1.18</f>
        <v>13.830508474576272</v>
      </c>
      <c r="E341" s="1">
        <f>Tabelle1[[#This Row],[Gross Sales Price]]*0.12</f>
        <v>1.9583999999999999</v>
      </c>
      <c r="F341" s="1">
        <v>0.4</v>
      </c>
      <c r="G341" s="1">
        <v>3</v>
      </c>
      <c r="H341" s="1">
        <v>2</v>
      </c>
      <c r="I341" s="2">
        <f>Tabelle1[[#This Row],[Base Price]]+Tabelle1[[#This Row],[Total Selling Costs
	]]+Tabelle1[[#This Row],[DHL Costs]]+Tabelle1[[#This Row],[Handling Costs]]+Tabelle1[[#This Row],[Fixed Costs]]</f>
        <v>13.3284</v>
      </c>
      <c r="J341" s="1">
        <f>Tabelle1[[#This Row],[Net Sales Price]]-Tabelle1[[#This Row],[Variable Costs]]</f>
        <v>0.50210847457627139</v>
      </c>
    </row>
    <row r="342" spans="1:10" ht="14.25" customHeight="1" x14ac:dyDescent="0.25">
      <c r="A342" s="8" t="s">
        <v>350</v>
      </c>
      <c r="B342" s="1">
        <v>17.440000000000001</v>
      </c>
      <c r="C342" s="1">
        <v>35.08</v>
      </c>
      <c r="D342" s="1">
        <f>Tabelle1[[#This Row],[Gross Sales Price]]/1.18</f>
        <v>29.728813559322035</v>
      </c>
      <c r="E342" s="1">
        <f>Tabelle1[[#This Row],[Gross Sales Price]]*0.12</f>
        <v>4.2096</v>
      </c>
      <c r="F342" s="1">
        <v>0.4</v>
      </c>
      <c r="G342" s="1">
        <v>3</v>
      </c>
      <c r="H342" s="1">
        <v>2</v>
      </c>
      <c r="I342" s="2">
        <f>Tabelle1[[#This Row],[Base Price]]+Tabelle1[[#This Row],[Total Selling Costs
	]]+Tabelle1[[#This Row],[DHL Costs]]+Tabelle1[[#This Row],[Handling Costs]]+Tabelle1[[#This Row],[Fixed Costs]]</f>
        <v>27.049599999999998</v>
      </c>
      <c r="J342" s="1">
        <f>Tabelle1[[#This Row],[Net Sales Price]]-Tabelle1[[#This Row],[Variable Costs]]</f>
        <v>2.6792135593220365</v>
      </c>
    </row>
    <row r="343" spans="1:10" ht="14.25" customHeight="1" x14ac:dyDescent="0.25">
      <c r="A343" s="8" t="s">
        <v>351</v>
      </c>
      <c r="B343" s="1">
        <v>17.149999999999999</v>
      </c>
      <c r="C343" s="1">
        <v>35.82</v>
      </c>
      <c r="D343" s="1">
        <f>Tabelle1[[#This Row],[Gross Sales Price]]/1.18</f>
        <v>30.355932203389834</v>
      </c>
      <c r="E343" s="1">
        <f>Tabelle1[[#This Row],[Gross Sales Price]]*0.12</f>
        <v>4.2984</v>
      </c>
      <c r="F343" s="1">
        <v>0.4</v>
      </c>
      <c r="G343" s="1">
        <v>3</v>
      </c>
      <c r="H343" s="1">
        <v>2</v>
      </c>
      <c r="I343" s="2">
        <f>Tabelle1[[#This Row],[Base Price]]+Tabelle1[[#This Row],[Total Selling Costs
	]]+Tabelle1[[#This Row],[DHL Costs]]+Tabelle1[[#This Row],[Handling Costs]]+Tabelle1[[#This Row],[Fixed Costs]]</f>
        <v>26.848399999999998</v>
      </c>
      <c r="J343" s="1">
        <f>Tabelle1[[#This Row],[Net Sales Price]]-Tabelle1[[#This Row],[Variable Costs]]</f>
        <v>3.507532203389836</v>
      </c>
    </row>
    <row r="344" spans="1:10" ht="14.25" customHeight="1" x14ac:dyDescent="0.25">
      <c r="A344" s="8" t="s">
        <v>352</v>
      </c>
      <c r="B344" s="1">
        <v>2.59</v>
      </c>
      <c r="C344" s="1">
        <v>38.32</v>
      </c>
      <c r="D344" s="1">
        <f>Tabelle1[[#This Row],[Gross Sales Price]]/1.18</f>
        <v>32.474576271186443</v>
      </c>
      <c r="E344" s="1">
        <f>Tabelle1[[#This Row],[Gross Sales Price]]*0.12</f>
        <v>4.5983999999999998</v>
      </c>
      <c r="F344" s="1">
        <v>0.4</v>
      </c>
      <c r="G344" s="1">
        <v>3</v>
      </c>
      <c r="H344" s="1">
        <v>2</v>
      </c>
      <c r="I344" s="2">
        <f>Tabelle1[[#This Row],[Base Price]]+Tabelle1[[#This Row],[Total Selling Costs
	]]+Tabelle1[[#This Row],[DHL Costs]]+Tabelle1[[#This Row],[Handling Costs]]+Tabelle1[[#This Row],[Fixed Costs]]</f>
        <v>12.5884</v>
      </c>
      <c r="J344" s="1">
        <f>Tabelle1[[#This Row],[Net Sales Price]]-Tabelle1[[#This Row],[Variable Costs]]</f>
        <v>19.886176271186443</v>
      </c>
    </row>
    <row r="345" spans="1:10" ht="14.25" customHeight="1" x14ac:dyDescent="0.25">
      <c r="A345" s="8" t="s">
        <v>353</v>
      </c>
      <c r="B345" s="1">
        <v>18.350000000000001</v>
      </c>
      <c r="C345" s="1">
        <v>10.83</v>
      </c>
      <c r="D345" s="1">
        <f>Tabelle1[[#This Row],[Gross Sales Price]]/1.18</f>
        <v>9.1779661016949152</v>
      </c>
      <c r="E345" s="1">
        <f>Tabelle1[[#This Row],[Gross Sales Price]]*0.12</f>
        <v>1.2995999999999999</v>
      </c>
      <c r="F345" s="1">
        <v>0.4</v>
      </c>
      <c r="G345" s="1">
        <v>3</v>
      </c>
      <c r="H345" s="1">
        <v>2</v>
      </c>
      <c r="I345" s="2">
        <f>Tabelle1[[#This Row],[Base Price]]+Tabelle1[[#This Row],[Total Selling Costs
	]]+Tabelle1[[#This Row],[DHL Costs]]+Tabelle1[[#This Row],[Handling Costs]]+Tabelle1[[#This Row],[Fixed Costs]]</f>
        <v>25.049599999999998</v>
      </c>
      <c r="J345" s="1">
        <f>Tabelle1[[#This Row],[Net Sales Price]]-Tabelle1[[#This Row],[Variable Costs]]</f>
        <v>-15.871633898305083</v>
      </c>
    </row>
    <row r="346" spans="1:10" ht="14.25" customHeight="1" x14ac:dyDescent="0.25">
      <c r="A346" s="8" t="s">
        <v>354</v>
      </c>
      <c r="B346" s="1">
        <v>5.5</v>
      </c>
      <c r="C346" s="1">
        <v>17.579999999999998</v>
      </c>
      <c r="D346" s="1">
        <f>Tabelle1[[#This Row],[Gross Sales Price]]/1.18</f>
        <v>14.898305084745761</v>
      </c>
      <c r="E346" s="1">
        <f>Tabelle1[[#This Row],[Gross Sales Price]]*0.12</f>
        <v>2.1095999999999999</v>
      </c>
      <c r="F346" s="1">
        <v>0.4</v>
      </c>
      <c r="G346" s="1">
        <v>3</v>
      </c>
      <c r="H346" s="1">
        <v>2</v>
      </c>
      <c r="I346" s="2">
        <f>Tabelle1[[#This Row],[Base Price]]+Tabelle1[[#This Row],[Total Selling Costs
	]]+Tabelle1[[#This Row],[DHL Costs]]+Tabelle1[[#This Row],[Handling Costs]]+Tabelle1[[#This Row],[Fixed Costs]]</f>
        <v>13.009600000000001</v>
      </c>
      <c r="J346" s="1">
        <f>Tabelle1[[#This Row],[Net Sales Price]]-Tabelle1[[#This Row],[Variable Costs]]</f>
        <v>1.8887050847457605</v>
      </c>
    </row>
    <row r="347" spans="1:10" ht="14.25" customHeight="1" x14ac:dyDescent="0.25">
      <c r="A347" s="8" t="s">
        <v>355</v>
      </c>
      <c r="B347" s="1">
        <v>16.690000000000001</v>
      </c>
      <c r="C347" s="1">
        <v>31.15</v>
      </c>
      <c r="D347" s="1">
        <f>Tabelle1[[#This Row],[Gross Sales Price]]/1.18</f>
        <v>26.398305084745761</v>
      </c>
      <c r="E347" s="1">
        <f>Tabelle1[[#This Row],[Gross Sales Price]]*0.12</f>
        <v>3.7379999999999995</v>
      </c>
      <c r="F347" s="1">
        <v>0.4</v>
      </c>
      <c r="G347" s="1">
        <v>3</v>
      </c>
      <c r="H347" s="1">
        <v>2</v>
      </c>
      <c r="I347" s="2">
        <f>Tabelle1[[#This Row],[Base Price]]+Tabelle1[[#This Row],[Total Selling Costs
	]]+Tabelle1[[#This Row],[DHL Costs]]+Tabelle1[[#This Row],[Handling Costs]]+Tabelle1[[#This Row],[Fixed Costs]]</f>
        <v>25.827999999999999</v>
      </c>
      <c r="J347" s="1">
        <f>Tabelle1[[#This Row],[Net Sales Price]]-Tabelle1[[#This Row],[Variable Costs]]</f>
        <v>0.5703050847457618</v>
      </c>
    </row>
    <row r="348" spans="1:10" ht="14.25" customHeight="1" x14ac:dyDescent="0.25">
      <c r="A348" s="8" t="s">
        <v>356</v>
      </c>
      <c r="B348" s="1">
        <v>17.52</v>
      </c>
      <c r="C348" s="1">
        <v>6.18</v>
      </c>
      <c r="D348" s="1">
        <f>Tabelle1[[#This Row],[Gross Sales Price]]/1.18</f>
        <v>5.2372881355932206</v>
      </c>
      <c r="E348" s="1">
        <f>Tabelle1[[#This Row],[Gross Sales Price]]*0.12</f>
        <v>0.74159999999999993</v>
      </c>
      <c r="F348" s="1">
        <v>0.4</v>
      </c>
      <c r="G348" s="1">
        <v>3</v>
      </c>
      <c r="H348" s="1">
        <v>2</v>
      </c>
      <c r="I348" s="2">
        <f>Tabelle1[[#This Row],[Base Price]]+Tabelle1[[#This Row],[Total Selling Costs
	]]+Tabelle1[[#This Row],[DHL Costs]]+Tabelle1[[#This Row],[Handling Costs]]+Tabelle1[[#This Row],[Fixed Costs]]</f>
        <v>23.661599999999996</v>
      </c>
      <c r="J348" s="1">
        <f>Tabelle1[[#This Row],[Net Sales Price]]-Tabelle1[[#This Row],[Variable Costs]]</f>
        <v>-18.424311864406775</v>
      </c>
    </row>
    <row r="349" spans="1:10" ht="14.25" customHeight="1" x14ac:dyDescent="0.25">
      <c r="A349" s="8" t="s">
        <v>357</v>
      </c>
      <c r="B349" s="1">
        <v>17.97</v>
      </c>
      <c r="C349" s="1">
        <v>1.66</v>
      </c>
      <c r="D349" s="1">
        <f>Tabelle1[[#This Row],[Gross Sales Price]]/1.18</f>
        <v>1.4067796610169492</v>
      </c>
      <c r="E349" s="1">
        <f>Tabelle1[[#This Row],[Gross Sales Price]]*0.12</f>
        <v>0.19919999999999999</v>
      </c>
      <c r="F349" s="1">
        <v>0.4</v>
      </c>
      <c r="G349" s="1">
        <v>3</v>
      </c>
      <c r="H349" s="1">
        <v>2</v>
      </c>
      <c r="I349" s="2">
        <f>Tabelle1[[#This Row],[Base Price]]+Tabelle1[[#This Row],[Total Selling Costs
	]]+Tabelle1[[#This Row],[DHL Costs]]+Tabelle1[[#This Row],[Handling Costs]]+Tabelle1[[#This Row],[Fixed Costs]]</f>
        <v>23.569199999999999</v>
      </c>
      <c r="J349" s="1">
        <f>Tabelle1[[#This Row],[Net Sales Price]]-Tabelle1[[#This Row],[Variable Costs]]</f>
        <v>-22.162420338983051</v>
      </c>
    </row>
    <row r="350" spans="1:10" ht="14.25" customHeight="1" x14ac:dyDescent="0.25">
      <c r="A350" s="8" t="s">
        <v>358</v>
      </c>
      <c r="B350" s="1">
        <v>4.5</v>
      </c>
      <c r="C350" s="1">
        <v>35.03</v>
      </c>
      <c r="D350" s="1">
        <f>Tabelle1[[#This Row],[Gross Sales Price]]/1.18</f>
        <v>29.686440677966104</v>
      </c>
      <c r="E350" s="1">
        <f>Tabelle1[[#This Row],[Gross Sales Price]]*0.12</f>
        <v>4.2035999999999998</v>
      </c>
      <c r="F350" s="1">
        <v>0.4</v>
      </c>
      <c r="G350" s="1">
        <v>3</v>
      </c>
      <c r="H350" s="1">
        <v>2</v>
      </c>
      <c r="I350" s="2">
        <f>Tabelle1[[#This Row],[Base Price]]+Tabelle1[[#This Row],[Total Selling Costs
	]]+Tabelle1[[#This Row],[DHL Costs]]+Tabelle1[[#This Row],[Handling Costs]]+Tabelle1[[#This Row],[Fixed Costs]]</f>
        <v>14.1036</v>
      </c>
      <c r="J350" s="1">
        <f>Tabelle1[[#This Row],[Net Sales Price]]-Tabelle1[[#This Row],[Variable Costs]]</f>
        <v>15.582840677966104</v>
      </c>
    </row>
    <row r="351" spans="1:10" ht="14.25" customHeight="1" x14ac:dyDescent="0.25">
      <c r="A351" s="8" t="s">
        <v>359</v>
      </c>
      <c r="B351" s="1">
        <v>9.0500000000000007</v>
      </c>
      <c r="C351" s="1">
        <v>27.75</v>
      </c>
      <c r="D351" s="1">
        <f>Tabelle1[[#This Row],[Gross Sales Price]]/1.18</f>
        <v>23.516949152542374</v>
      </c>
      <c r="E351" s="1">
        <f>Tabelle1[[#This Row],[Gross Sales Price]]*0.12</f>
        <v>3.33</v>
      </c>
      <c r="F351" s="1">
        <v>0.4</v>
      </c>
      <c r="G351" s="1">
        <v>3</v>
      </c>
      <c r="H351" s="1">
        <v>2</v>
      </c>
      <c r="I351" s="2">
        <f>Tabelle1[[#This Row],[Base Price]]+Tabelle1[[#This Row],[Total Selling Costs
	]]+Tabelle1[[#This Row],[DHL Costs]]+Tabelle1[[#This Row],[Handling Costs]]+Tabelle1[[#This Row],[Fixed Costs]]</f>
        <v>17.78</v>
      </c>
      <c r="J351" s="1">
        <f>Tabelle1[[#This Row],[Net Sales Price]]-Tabelle1[[#This Row],[Variable Costs]]</f>
        <v>5.7369491525423726</v>
      </c>
    </row>
    <row r="352" spans="1:10" ht="14.25" customHeight="1" x14ac:dyDescent="0.25">
      <c r="A352" s="8" t="s">
        <v>360</v>
      </c>
      <c r="B352" s="1">
        <v>1.04</v>
      </c>
      <c r="C352" s="1">
        <v>40.270000000000003</v>
      </c>
      <c r="D352" s="1">
        <f>Tabelle1[[#This Row],[Gross Sales Price]]/1.18</f>
        <v>34.127118644067799</v>
      </c>
      <c r="E352" s="1">
        <f>Tabelle1[[#This Row],[Gross Sales Price]]*0.12</f>
        <v>4.8323999999999998</v>
      </c>
      <c r="F352" s="1">
        <v>0.4</v>
      </c>
      <c r="G352" s="1">
        <v>3</v>
      </c>
      <c r="H352" s="1">
        <v>2</v>
      </c>
      <c r="I352" s="2">
        <f>Tabelle1[[#This Row],[Base Price]]+Tabelle1[[#This Row],[Total Selling Costs
	]]+Tabelle1[[#This Row],[DHL Costs]]+Tabelle1[[#This Row],[Handling Costs]]+Tabelle1[[#This Row],[Fixed Costs]]</f>
        <v>11.272399999999999</v>
      </c>
      <c r="J352" s="1">
        <f>Tabelle1[[#This Row],[Net Sales Price]]-Tabelle1[[#This Row],[Variable Costs]]</f>
        <v>22.854718644067802</v>
      </c>
    </row>
    <row r="353" spans="1:10" ht="14.25" customHeight="1" x14ac:dyDescent="0.25">
      <c r="A353" s="8" t="s">
        <v>361</v>
      </c>
      <c r="B353" s="1">
        <v>1.35</v>
      </c>
      <c r="C353" s="1">
        <v>7.33</v>
      </c>
      <c r="D353" s="1">
        <f>Tabelle1[[#This Row],[Gross Sales Price]]/1.18</f>
        <v>6.2118644067796618</v>
      </c>
      <c r="E353" s="1">
        <f>Tabelle1[[#This Row],[Gross Sales Price]]*0.12</f>
        <v>0.87959999999999994</v>
      </c>
      <c r="F353" s="1">
        <v>0.4</v>
      </c>
      <c r="G353" s="1">
        <v>3</v>
      </c>
      <c r="H353" s="1">
        <v>2</v>
      </c>
      <c r="I353" s="2">
        <f>Tabelle1[[#This Row],[Base Price]]+Tabelle1[[#This Row],[Total Selling Costs
	]]+Tabelle1[[#This Row],[DHL Costs]]+Tabelle1[[#This Row],[Handling Costs]]+Tabelle1[[#This Row],[Fixed Costs]]</f>
        <v>7.6295999999999999</v>
      </c>
      <c r="J353" s="1">
        <f>Tabelle1[[#This Row],[Net Sales Price]]-Tabelle1[[#This Row],[Variable Costs]]</f>
        <v>-1.4177355932203382</v>
      </c>
    </row>
    <row r="354" spans="1:10" ht="14.25" customHeight="1" x14ac:dyDescent="0.25">
      <c r="A354" s="8" t="s">
        <v>362</v>
      </c>
      <c r="B354" s="1">
        <v>9.59</v>
      </c>
      <c r="C354" s="1">
        <v>22.24</v>
      </c>
      <c r="D354" s="1">
        <f>Tabelle1[[#This Row],[Gross Sales Price]]/1.18</f>
        <v>18.847457627118644</v>
      </c>
      <c r="E354" s="1">
        <f>Tabelle1[[#This Row],[Gross Sales Price]]*0.12</f>
        <v>2.6687999999999996</v>
      </c>
      <c r="F354" s="1">
        <v>0.4</v>
      </c>
      <c r="G354" s="1">
        <v>3</v>
      </c>
      <c r="H354" s="1">
        <v>2</v>
      </c>
      <c r="I354" s="2">
        <f>Tabelle1[[#This Row],[Base Price]]+Tabelle1[[#This Row],[Total Selling Costs
	]]+Tabelle1[[#This Row],[DHL Costs]]+Tabelle1[[#This Row],[Handling Costs]]+Tabelle1[[#This Row],[Fixed Costs]]</f>
        <v>17.658799999999999</v>
      </c>
      <c r="J354" s="1">
        <f>Tabelle1[[#This Row],[Net Sales Price]]-Tabelle1[[#This Row],[Variable Costs]]</f>
        <v>1.1886576271186442</v>
      </c>
    </row>
    <row r="355" spans="1:10" ht="14.25" customHeight="1" x14ac:dyDescent="0.25">
      <c r="A355" s="8" t="s">
        <v>363</v>
      </c>
      <c r="B355" s="1">
        <v>5.56</v>
      </c>
      <c r="C355" s="1">
        <v>7.43</v>
      </c>
      <c r="D355" s="1">
        <f>Tabelle1[[#This Row],[Gross Sales Price]]/1.18</f>
        <v>6.2966101694915251</v>
      </c>
      <c r="E355" s="1">
        <f>Tabelle1[[#This Row],[Gross Sales Price]]*0.12</f>
        <v>0.89159999999999995</v>
      </c>
      <c r="F355" s="1">
        <v>0.4</v>
      </c>
      <c r="G355" s="1">
        <v>3</v>
      </c>
      <c r="H355" s="1">
        <v>2</v>
      </c>
      <c r="I355" s="2">
        <f>Tabelle1[[#This Row],[Base Price]]+Tabelle1[[#This Row],[Total Selling Costs
	]]+Tabelle1[[#This Row],[DHL Costs]]+Tabelle1[[#This Row],[Handling Costs]]+Tabelle1[[#This Row],[Fixed Costs]]</f>
        <v>11.851599999999999</v>
      </c>
      <c r="J355" s="1">
        <f>Tabelle1[[#This Row],[Net Sales Price]]-Tabelle1[[#This Row],[Variable Costs]]</f>
        <v>-5.5549898305084744</v>
      </c>
    </row>
    <row r="356" spans="1:10" ht="14.25" customHeight="1" x14ac:dyDescent="0.25">
      <c r="A356" s="8" t="s">
        <v>364</v>
      </c>
      <c r="B356" s="1">
        <v>4.41</v>
      </c>
      <c r="C356" s="1">
        <v>39.26</v>
      </c>
      <c r="D356" s="1">
        <f>Tabelle1[[#This Row],[Gross Sales Price]]/1.18</f>
        <v>33.271186440677965</v>
      </c>
      <c r="E356" s="1">
        <f>Tabelle1[[#This Row],[Gross Sales Price]]*0.12</f>
        <v>4.7111999999999998</v>
      </c>
      <c r="F356" s="1">
        <v>0.4</v>
      </c>
      <c r="G356" s="1">
        <v>3</v>
      </c>
      <c r="H356" s="1">
        <v>2</v>
      </c>
      <c r="I356" s="2">
        <f>Tabelle1[[#This Row],[Base Price]]+Tabelle1[[#This Row],[Total Selling Costs
	]]+Tabelle1[[#This Row],[DHL Costs]]+Tabelle1[[#This Row],[Handling Costs]]+Tabelle1[[#This Row],[Fixed Costs]]</f>
        <v>14.5212</v>
      </c>
      <c r="J356" s="1">
        <f>Tabelle1[[#This Row],[Net Sales Price]]-Tabelle1[[#This Row],[Variable Costs]]</f>
        <v>18.749986440677965</v>
      </c>
    </row>
    <row r="357" spans="1:10" ht="14.25" customHeight="1" x14ac:dyDescent="0.25">
      <c r="A357" s="8" t="s">
        <v>365</v>
      </c>
      <c r="B357" s="1">
        <v>7.12</v>
      </c>
      <c r="C357" s="1">
        <v>13.05</v>
      </c>
      <c r="D357" s="1">
        <f>Tabelle1[[#This Row],[Gross Sales Price]]/1.18</f>
        <v>11.059322033898306</v>
      </c>
      <c r="E357" s="1">
        <f>Tabelle1[[#This Row],[Gross Sales Price]]*0.12</f>
        <v>1.5660000000000001</v>
      </c>
      <c r="F357" s="1">
        <v>0.4</v>
      </c>
      <c r="G357" s="1">
        <v>3</v>
      </c>
      <c r="H357" s="1">
        <v>2</v>
      </c>
      <c r="I357" s="2">
        <f>Tabelle1[[#This Row],[Base Price]]+Tabelle1[[#This Row],[Total Selling Costs
	]]+Tabelle1[[#This Row],[DHL Costs]]+Tabelle1[[#This Row],[Handling Costs]]+Tabelle1[[#This Row],[Fixed Costs]]</f>
        <v>14.086</v>
      </c>
      <c r="J357" s="1">
        <f>Tabelle1[[#This Row],[Net Sales Price]]-Tabelle1[[#This Row],[Variable Costs]]</f>
        <v>-3.026677966101694</v>
      </c>
    </row>
    <row r="358" spans="1:10" ht="14.25" customHeight="1" x14ac:dyDescent="0.25">
      <c r="A358" s="8" t="s">
        <v>366</v>
      </c>
      <c r="B358" s="1">
        <v>3.64</v>
      </c>
      <c r="C358" s="1">
        <v>32.880000000000003</v>
      </c>
      <c r="D358" s="1">
        <f>Tabelle1[[#This Row],[Gross Sales Price]]/1.18</f>
        <v>27.864406779661021</v>
      </c>
      <c r="E358" s="1">
        <f>Tabelle1[[#This Row],[Gross Sales Price]]*0.12</f>
        <v>3.9456000000000002</v>
      </c>
      <c r="F358" s="1">
        <v>0.4</v>
      </c>
      <c r="G358" s="1">
        <v>3</v>
      </c>
      <c r="H358" s="1">
        <v>2</v>
      </c>
      <c r="I358" s="2">
        <f>Tabelle1[[#This Row],[Base Price]]+Tabelle1[[#This Row],[Total Selling Costs
	]]+Tabelle1[[#This Row],[DHL Costs]]+Tabelle1[[#This Row],[Handling Costs]]+Tabelle1[[#This Row],[Fixed Costs]]</f>
        <v>12.9856</v>
      </c>
      <c r="J358" s="1">
        <f>Tabelle1[[#This Row],[Net Sales Price]]-Tabelle1[[#This Row],[Variable Costs]]</f>
        <v>14.878806779661021</v>
      </c>
    </row>
    <row r="359" spans="1:10" ht="14.25" customHeight="1" x14ac:dyDescent="0.25">
      <c r="A359" s="8" t="s">
        <v>367</v>
      </c>
      <c r="B359" s="1">
        <v>3.2</v>
      </c>
      <c r="C359" s="1">
        <v>27.77</v>
      </c>
      <c r="D359" s="1">
        <f>Tabelle1[[#This Row],[Gross Sales Price]]/1.18</f>
        <v>23.533898305084747</v>
      </c>
      <c r="E359" s="1">
        <f>Tabelle1[[#This Row],[Gross Sales Price]]*0.12</f>
        <v>3.3323999999999998</v>
      </c>
      <c r="F359" s="1">
        <v>0.4</v>
      </c>
      <c r="G359" s="1">
        <v>3</v>
      </c>
      <c r="H359" s="1">
        <v>2</v>
      </c>
      <c r="I359" s="2">
        <f>Tabelle1[[#This Row],[Base Price]]+Tabelle1[[#This Row],[Total Selling Costs
	]]+Tabelle1[[#This Row],[DHL Costs]]+Tabelle1[[#This Row],[Handling Costs]]+Tabelle1[[#This Row],[Fixed Costs]]</f>
        <v>11.932399999999999</v>
      </c>
      <c r="J359" s="1">
        <f>Tabelle1[[#This Row],[Net Sales Price]]-Tabelle1[[#This Row],[Variable Costs]]</f>
        <v>11.601498305084748</v>
      </c>
    </row>
    <row r="360" spans="1:10" ht="14.25" customHeight="1" x14ac:dyDescent="0.25">
      <c r="A360" s="8" t="s">
        <v>368</v>
      </c>
      <c r="B360" s="1">
        <v>19.32</v>
      </c>
      <c r="C360" s="1">
        <v>10.19</v>
      </c>
      <c r="D360" s="1">
        <f>Tabelle1[[#This Row],[Gross Sales Price]]/1.18</f>
        <v>8.6355932203389827</v>
      </c>
      <c r="E360" s="1">
        <f>Tabelle1[[#This Row],[Gross Sales Price]]*0.12</f>
        <v>1.2227999999999999</v>
      </c>
      <c r="F360" s="1">
        <v>0.4</v>
      </c>
      <c r="G360" s="1">
        <v>3</v>
      </c>
      <c r="H360" s="1">
        <v>2</v>
      </c>
      <c r="I360" s="2">
        <f>Tabelle1[[#This Row],[Base Price]]+Tabelle1[[#This Row],[Total Selling Costs
	]]+Tabelle1[[#This Row],[DHL Costs]]+Tabelle1[[#This Row],[Handling Costs]]+Tabelle1[[#This Row],[Fixed Costs]]</f>
        <v>25.942799999999998</v>
      </c>
      <c r="J360" s="1">
        <f>Tabelle1[[#This Row],[Net Sales Price]]-Tabelle1[[#This Row],[Variable Costs]]</f>
        <v>-17.307206779661016</v>
      </c>
    </row>
    <row r="361" spans="1:10" ht="14.25" customHeight="1" x14ac:dyDescent="0.25">
      <c r="A361" s="8" t="s">
        <v>369</v>
      </c>
      <c r="B361" s="1">
        <v>9.43</v>
      </c>
      <c r="C361" s="1">
        <v>11.49</v>
      </c>
      <c r="D361" s="1">
        <f>Tabelle1[[#This Row],[Gross Sales Price]]/1.18</f>
        <v>9.7372881355932215</v>
      </c>
      <c r="E361" s="1">
        <f>Tabelle1[[#This Row],[Gross Sales Price]]*0.12</f>
        <v>1.3788</v>
      </c>
      <c r="F361" s="1">
        <v>0.4</v>
      </c>
      <c r="G361" s="1">
        <v>3</v>
      </c>
      <c r="H361" s="1">
        <v>2</v>
      </c>
      <c r="I361" s="2">
        <f>Tabelle1[[#This Row],[Base Price]]+Tabelle1[[#This Row],[Total Selling Costs
	]]+Tabelle1[[#This Row],[DHL Costs]]+Tabelle1[[#This Row],[Handling Costs]]+Tabelle1[[#This Row],[Fixed Costs]]</f>
        <v>16.2088</v>
      </c>
      <c r="J361" s="1">
        <f>Tabelle1[[#This Row],[Net Sales Price]]-Tabelle1[[#This Row],[Variable Costs]]</f>
        <v>-6.4715118644067786</v>
      </c>
    </row>
    <row r="362" spans="1:10" ht="14.25" customHeight="1" x14ac:dyDescent="0.25">
      <c r="A362" s="8" t="s">
        <v>370</v>
      </c>
      <c r="B362" s="1">
        <v>19.18</v>
      </c>
      <c r="C362" s="1">
        <v>27.58</v>
      </c>
      <c r="D362" s="1">
        <f>Tabelle1[[#This Row],[Gross Sales Price]]/1.18</f>
        <v>23.372881355932204</v>
      </c>
      <c r="E362" s="1">
        <f>Tabelle1[[#This Row],[Gross Sales Price]]*0.12</f>
        <v>3.3095999999999997</v>
      </c>
      <c r="F362" s="1">
        <v>0.4</v>
      </c>
      <c r="G362" s="1">
        <v>3</v>
      </c>
      <c r="H362" s="1">
        <v>2</v>
      </c>
      <c r="I362" s="2">
        <f>Tabelle1[[#This Row],[Base Price]]+Tabelle1[[#This Row],[Total Selling Costs
	]]+Tabelle1[[#This Row],[DHL Costs]]+Tabelle1[[#This Row],[Handling Costs]]+Tabelle1[[#This Row],[Fixed Costs]]</f>
        <v>27.889599999999998</v>
      </c>
      <c r="J362" s="1">
        <f>Tabelle1[[#This Row],[Net Sales Price]]-Tabelle1[[#This Row],[Variable Costs]]</f>
        <v>-4.5167186440677938</v>
      </c>
    </row>
    <row r="363" spans="1:10" ht="14.25" customHeight="1" x14ac:dyDescent="0.25">
      <c r="A363" s="8" t="s">
        <v>371</v>
      </c>
      <c r="B363" s="1">
        <v>11.79</v>
      </c>
      <c r="C363" s="1">
        <v>13.02</v>
      </c>
      <c r="D363" s="1">
        <f>Tabelle1[[#This Row],[Gross Sales Price]]/1.18</f>
        <v>11.033898305084746</v>
      </c>
      <c r="E363" s="1">
        <f>Tabelle1[[#This Row],[Gross Sales Price]]*0.12</f>
        <v>1.5623999999999998</v>
      </c>
      <c r="F363" s="1">
        <v>0.4</v>
      </c>
      <c r="G363" s="1">
        <v>3</v>
      </c>
      <c r="H363" s="1">
        <v>2</v>
      </c>
      <c r="I363" s="2">
        <f>Tabelle1[[#This Row],[Base Price]]+Tabelle1[[#This Row],[Total Selling Costs
	]]+Tabelle1[[#This Row],[DHL Costs]]+Tabelle1[[#This Row],[Handling Costs]]+Tabelle1[[#This Row],[Fixed Costs]]</f>
        <v>18.752399999999998</v>
      </c>
      <c r="J363" s="1">
        <f>Tabelle1[[#This Row],[Net Sales Price]]-Tabelle1[[#This Row],[Variable Costs]]</f>
        <v>-7.7185016949152523</v>
      </c>
    </row>
    <row r="364" spans="1:10" ht="14.25" customHeight="1" x14ac:dyDescent="0.25">
      <c r="A364" s="8" t="s">
        <v>372</v>
      </c>
      <c r="B364" s="1">
        <v>4.4000000000000004</v>
      </c>
      <c r="C364" s="1">
        <v>35.65</v>
      </c>
      <c r="D364" s="1">
        <f>Tabelle1[[#This Row],[Gross Sales Price]]/1.18</f>
        <v>30.211864406779661</v>
      </c>
      <c r="E364" s="1">
        <f>Tabelle1[[#This Row],[Gross Sales Price]]*0.12</f>
        <v>4.2779999999999996</v>
      </c>
      <c r="F364" s="1">
        <v>0.4</v>
      </c>
      <c r="G364" s="1">
        <v>3</v>
      </c>
      <c r="H364" s="1">
        <v>2</v>
      </c>
      <c r="I364" s="2">
        <f>Tabelle1[[#This Row],[Base Price]]+Tabelle1[[#This Row],[Total Selling Costs
	]]+Tabelle1[[#This Row],[DHL Costs]]+Tabelle1[[#This Row],[Handling Costs]]+Tabelle1[[#This Row],[Fixed Costs]]</f>
        <v>14.078000000000001</v>
      </c>
      <c r="J364" s="1">
        <f>Tabelle1[[#This Row],[Net Sales Price]]-Tabelle1[[#This Row],[Variable Costs]]</f>
        <v>16.133864406779658</v>
      </c>
    </row>
    <row r="365" spans="1:10" ht="14.25" customHeight="1" x14ac:dyDescent="0.25">
      <c r="A365" s="8" t="s">
        <v>373</v>
      </c>
      <c r="B365" s="1">
        <v>10.5</v>
      </c>
      <c r="C365" s="1">
        <v>33.119999999999997</v>
      </c>
      <c r="D365" s="1">
        <f>Tabelle1[[#This Row],[Gross Sales Price]]/1.18</f>
        <v>28.067796610169491</v>
      </c>
      <c r="E365" s="1">
        <f>Tabelle1[[#This Row],[Gross Sales Price]]*0.12</f>
        <v>3.9743999999999997</v>
      </c>
      <c r="F365" s="1">
        <v>0.4</v>
      </c>
      <c r="G365" s="1">
        <v>3</v>
      </c>
      <c r="H365" s="1">
        <v>2</v>
      </c>
      <c r="I365" s="2">
        <f>Tabelle1[[#This Row],[Base Price]]+Tabelle1[[#This Row],[Total Selling Costs
	]]+Tabelle1[[#This Row],[DHL Costs]]+Tabelle1[[#This Row],[Handling Costs]]+Tabelle1[[#This Row],[Fixed Costs]]</f>
        <v>19.874399999999998</v>
      </c>
      <c r="J365" s="1">
        <f>Tabelle1[[#This Row],[Net Sales Price]]-Tabelle1[[#This Row],[Variable Costs]]</f>
        <v>8.1933966101694935</v>
      </c>
    </row>
    <row r="366" spans="1:10" ht="14.25" customHeight="1" x14ac:dyDescent="0.25">
      <c r="A366" s="8" t="s">
        <v>374</v>
      </c>
      <c r="B366" s="1">
        <v>8.4700000000000006</v>
      </c>
      <c r="C366" s="1">
        <v>31.14</v>
      </c>
      <c r="D366" s="1">
        <f>Tabelle1[[#This Row],[Gross Sales Price]]/1.18</f>
        <v>26.389830508474578</v>
      </c>
      <c r="E366" s="1">
        <f>Tabelle1[[#This Row],[Gross Sales Price]]*0.12</f>
        <v>3.7368000000000001</v>
      </c>
      <c r="F366" s="1">
        <v>0.4</v>
      </c>
      <c r="G366" s="1">
        <v>3</v>
      </c>
      <c r="H366" s="1">
        <v>2</v>
      </c>
      <c r="I366" s="2">
        <f>Tabelle1[[#This Row],[Base Price]]+Tabelle1[[#This Row],[Total Selling Costs
	]]+Tabelle1[[#This Row],[DHL Costs]]+Tabelle1[[#This Row],[Handling Costs]]+Tabelle1[[#This Row],[Fixed Costs]]</f>
        <v>17.6068</v>
      </c>
      <c r="J366" s="1">
        <f>Tabelle1[[#This Row],[Net Sales Price]]-Tabelle1[[#This Row],[Variable Costs]]</f>
        <v>8.7830305084745781</v>
      </c>
    </row>
    <row r="367" spans="1:10" ht="14.25" customHeight="1" x14ac:dyDescent="0.25">
      <c r="A367" s="8" t="s">
        <v>375</v>
      </c>
      <c r="B367" s="1">
        <v>19.25</v>
      </c>
      <c r="C367" s="1">
        <v>18.920000000000002</v>
      </c>
      <c r="D367" s="1">
        <f>Tabelle1[[#This Row],[Gross Sales Price]]/1.18</f>
        <v>16.033898305084747</v>
      </c>
      <c r="E367" s="1">
        <f>Tabelle1[[#This Row],[Gross Sales Price]]*0.12</f>
        <v>2.2704</v>
      </c>
      <c r="F367" s="1">
        <v>0.4</v>
      </c>
      <c r="G367" s="1">
        <v>3</v>
      </c>
      <c r="H367" s="1">
        <v>2</v>
      </c>
      <c r="I367" s="2">
        <f>Tabelle1[[#This Row],[Base Price]]+Tabelle1[[#This Row],[Total Selling Costs
	]]+Tabelle1[[#This Row],[DHL Costs]]+Tabelle1[[#This Row],[Handling Costs]]+Tabelle1[[#This Row],[Fixed Costs]]</f>
        <v>26.920399999999997</v>
      </c>
      <c r="J367" s="1">
        <f>Tabelle1[[#This Row],[Net Sales Price]]-Tabelle1[[#This Row],[Variable Costs]]</f>
        <v>-10.88650169491525</v>
      </c>
    </row>
    <row r="368" spans="1:10" ht="14.25" customHeight="1" x14ac:dyDescent="0.25">
      <c r="A368" s="8" t="s">
        <v>376</v>
      </c>
      <c r="B368" s="1">
        <v>1.49</v>
      </c>
      <c r="C368" s="1">
        <v>28.89</v>
      </c>
      <c r="D368" s="1">
        <f>Tabelle1[[#This Row],[Gross Sales Price]]/1.18</f>
        <v>24.48305084745763</v>
      </c>
      <c r="E368" s="1">
        <f>Tabelle1[[#This Row],[Gross Sales Price]]*0.12</f>
        <v>3.4668000000000001</v>
      </c>
      <c r="F368" s="1">
        <v>0.4</v>
      </c>
      <c r="G368" s="1">
        <v>3</v>
      </c>
      <c r="H368" s="1">
        <v>2</v>
      </c>
      <c r="I368" s="2">
        <f>Tabelle1[[#This Row],[Base Price]]+Tabelle1[[#This Row],[Total Selling Costs
	]]+Tabelle1[[#This Row],[DHL Costs]]+Tabelle1[[#This Row],[Handling Costs]]+Tabelle1[[#This Row],[Fixed Costs]]</f>
        <v>10.356800000000002</v>
      </c>
      <c r="J368" s="1">
        <f>Tabelle1[[#This Row],[Net Sales Price]]-Tabelle1[[#This Row],[Variable Costs]]</f>
        <v>14.126250847457628</v>
      </c>
    </row>
    <row r="369" spans="1:10" ht="14.25" customHeight="1" x14ac:dyDescent="0.25">
      <c r="A369" s="8" t="s">
        <v>377</v>
      </c>
      <c r="B369" s="1">
        <v>18.27</v>
      </c>
      <c r="C369" s="1">
        <v>15.03</v>
      </c>
      <c r="D369" s="1">
        <f>Tabelle1[[#This Row],[Gross Sales Price]]/1.18</f>
        <v>12.73728813559322</v>
      </c>
      <c r="E369" s="1">
        <f>Tabelle1[[#This Row],[Gross Sales Price]]*0.12</f>
        <v>1.8035999999999999</v>
      </c>
      <c r="F369" s="1">
        <v>0.4</v>
      </c>
      <c r="G369" s="1">
        <v>3</v>
      </c>
      <c r="H369" s="1">
        <v>2</v>
      </c>
      <c r="I369" s="2">
        <f>Tabelle1[[#This Row],[Base Price]]+Tabelle1[[#This Row],[Total Selling Costs
	]]+Tabelle1[[#This Row],[DHL Costs]]+Tabelle1[[#This Row],[Handling Costs]]+Tabelle1[[#This Row],[Fixed Costs]]</f>
        <v>25.473599999999998</v>
      </c>
      <c r="J369" s="1">
        <f>Tabelle1[[#This Row],[Net Sales Price]]-Tabelle1[[#This Row],[Variable Costs]]</f>
        <v>-12.736311864406778</v>
      </c>
    </row>
    <row r="370" spans="1:10" ht="14.25" customHeight="1" x14ac:dyDescent="0.25">
      <c r="A370" s="8" t="s">
        <v>378</v>
      </c>
      <c r="B370" s="1">
        <v>14.03</v>
      </c>
      <c r="C370" s="1">
        <v>4</v>
      </c>
      <c r="D370" s="1">
        <f>Tabelle1[[#This Row],[Gross Sales Price]]/1.18</f>
        <v>3.3898305084745766</v>
      </c>
      <c r="E370" s="1">
        <f>Tabelle1[[#This Row],[Gross Sales Price]]*0.12</f>
        <v>0.48</v>
      </c>
      <c r="F370" s="1">
        <v>0.4</v>
      </c>
      <c r="G370" s="1">
        <v>3</v>
      </c>
      <c r="H370" s="1">
        <v>2</v>
      </c>
      <c r="I370" s="2">
        <f>Tabelle1[[#This Row],[Base Price]]+Tabelle1[[#This Row],[Total Selling Costs
	]]+Tabelle1[[#This Row],[DHL Costs]]+Tabelle1[[#This Row],[Handling Costs]]+Tabelle1[[#This Row],[Fixed Costs]]</f>
        <v>19.909999999999997</v>
      </c>
      <c r="J370" s="1">
        <f>Tabelle1[[#This Row],[Net Sales Price]]-Tabelle1[[#This Row],[Variable Costs]]</f>
        <v>-16.520169491525419</v>
      </c>
    </row>
    <row r="371" spans="1:10" ht="14.25" customHeight="1" x14ac:dyDescent="0.25">
      <c r="A371" s="8" t="s">
        <v>379</v>
      </c>
      <c r="B371" s="1">
        <v>10.97</v>
      </c>
      <c r="C371" s="1">
        <v>15.87</v>
      </c>
      <c r="D371" s="1">
        <f>Tabelle1[[#This Row],[Gross Sales Price]]/1.18</f>
        <v>13.449152542372881</v>
      </c>
      <c r="E371" s="1">
        <f>Tabelle1[[#This Row],[Gross Sales Price]]*0.12</f>
        <v>1.9043999999999999</v>
      </c>
      <c r="F371" s="1">
        <v>0.4</v>
      </c>
      <c r="G371" s="1">
        <v>3</v>
      </c>
      <c r="H371" s="1">
        <v>2</v>
      </c>
      <c r="I371" s="2">
        <f>Tabelle1[[#This Row],[Base Price]]+Tabelle1[[#This Row],[Total Selling Costs
	]]+Tabelle1[[#This Row],[DHL Costs]]+Tabelle1[[#This Row],[Handling Costs]]+Tabelle1[[#This Row],[Fixed Costs]]</f>
        <v>18.2744</v>
      </c>
      <c r="J371" s="1">
        <f>Tabelle1[[#This Row],[Net Sales Price]]-Tabelle1[[#This Row],[Variable Costs]]</f>
        <v>-4.8252474576271194</v>
      </c>
    </row>
    <row r="372" spans="1:10" ht="14.25" customHeight="1" x14ac:dyDescent="0.25">
      <c r="A372" s="8" t="s">
        <v>380</v>
      </c>
      <c r="B372" s="1">
        <v>7.06</v>
      </c>
      <c r="C372" s="1">
        <v>34.17</v>
      </c>
      <c r="D372" s="1">
        <f>Tabelle1[[#This Row],[Gross Sales Price]]/1.18</f>
        <v>28.957627118644069</v>
      </c>
      <c r="E372" s="1">
        <f>Tabelle1[[#This Row],[Gross Sales Price]]*0.12</f>
        <v>4.1004000000000005</v>
      </c>
      <c r="F372" s="1">
        <v>0.4</v>
      </c>
      <c r="G372" s="1">
        <v>3</v>
      </c>
      <c r="H372" s="1">
        <v>2</v>
      </c>
      <c r="I372" s="2">
        <f>Tabelle1[[#This Row],[Base Price]]+Tabelle1[[#This Row],[Total Selling Costs
	]]+Tabelle1[[#This Row],[DHL Costs]]+Tabelle1[[#This Row],[Handling Costs]]+Tabelle1[[#This Row],[Fixed Costs]]</f>
        <v>16.560399999999998</v>
      </c>
      <c r="J372" s="1">
        <f>Tabelle1[[#This Row],[Net Sales Price]]-Tabelle1[[#This Row],[Variable Costs]]</f>
        <v>12.397227118644071</v>
      </c>
    </row>
    <row r="373" spans="1:10" ht="14.25" customHeight="1" x14ac:dyDescent="0.25">
      <c r="A373" s="8" t="s">
        <v>381</v>
      </c>
      <c r="B373" s="1">
        <v>4.24</v>
      </c>
      <c r="C373" s="1">
        <v>8.3000000000000007</v>
      </c>
      <c r="D373" s="1">
        <f>Tabelle1[[#This Row],[Gross Sales Price]]/1.18</f>
        <v>7.0338983050847466</v>
      </c>
      <c r="E373" s="1">
        <f>Tabelle1[[#This Row],[Gross Sales Price]]*0.12</f>
        <v>0.996</v>
      </c>
      <c r="F373" s="1">
        <v>0.4</v>
      </c>
      <c r="G373" s="1">
        <v>3</v>
      </c>
      <c r="H373" s="1">
        <v>2</v>
      </c>
      <c r="I373" s="2">
        <f>Tabelle1[[#This Row],[Base Price]]+Tabelle1[[#This Row],[Total Selling Costs
	]]+Tabelle1[[#This Row],[DHL Costs]]+Tabelle1[[#This Row],[Handling Costs]]+Tabelle1[[#This Row],[Fixed Costs]]</f>
        <v>10.636000000000001</v>
      </c>
      <c r="J373" s="1">
        <f>Tabelle1[[#This Row],[Net Sales Price]]-Tabelle1[[#This Row],[Variable Costs]]</f>
        <v>-3.6021016949152544</v>
      </c>
    </row>
    <row r="374" spans="1:10" ht="14.25" customHeight="1" x14ac:dyDescent="0.25">
      <c r="A374" s="8" t="s">
        <v>382</v>
      </c>
      <c r="B374" s="1">
        <v>19.059999999999999</v>
      </c>
      <c r="C374" s="1">
        <v>17.64</v>
      </c>
      <c r="D374" s="1">
        <f>Tabelle1[[#This Row],[Gross Sales Price]]/1.18</f>
        <v>14.949152542372882</v>
      </c>
      <c r="E374" s="1">
        <f>Tabelle1[[#This Row],[Gross Sales Price]]*0.12</f>
        <v>2.1168</v>
      </c>
      <c r="F374" s="1">
        <v>0.4</v>
      </c>
      <c r="G374" s="1">
        <v>3</v>
      </c>
      <c r="H374" s="1">
        <v>2</v>
      </c>
      <c r="I374" s="2">
        <f>Tabelle1[[#This Row],[Base Price]]+Tabelle1[[#This Row],[Total Selling Costs
	]]+Tabelle1[[#This Row],[DHL Costs]]+Tabelle1[[#This Row],[Handling Costs]]+Tabelle1[[#This Row],[Fixed Costs]]</f>
        <v>26.576799999999999</v>
      </c>
      <c r="J374" s="1">
        <f>Tabelle1[[#This Row],[Net Sales Price]]-Tabelle1[[#This Row],[Variable Costs]]</f>
        <v>-11.627647457627116</v>
      </c>
    </row>
    <row r="375" spans="1:10" ht="14.25" customHeight="1" x14ac:dyDescent="0.25">
      <c r="A375" s="8" t="s">
        <v>383</v>
      </c>
      <c r="B375" s="1">
        <v>13.35</v>
      </c>
      <c r="C375" s="1">
        <v>22.54</v>
      </c>
      <c r="D375" s="1">
        <f>Tabelle1[[#This Row],[Gross Sales Price]]/1.18</f>
        <v>19.101694915254239</v>
      </c>
      <c r="E375" s="1">
        <f>Tabelle1[[#This Row],[Gross Sales Price]]*0.12</f>
        <v>2.7047999999999996</v>
      </c>
      <c r="F375" s="1">
        <v>0.4</v>
      </c>
      <c r="G375" s="1">
        <v>3</v>
      </c>
      <c r="H375" s="1">
        <v>2</v>
      </c>
      <c r="I375" s="2">
        <f>Tabelle1[[#This Row],[Base Price]]+Tabelle1[[#This Row],[Total Selling Costs
	]]+Tabelle1[[#This Row],[DHL Costs]]+Tabelle1[[#This Row],[Handling Costs]]+Tabelle1[[#This Row],[Fixed Costs]]</f>
        <v>21.454799999999999</v>
      </c>
      <c r="J375" s="1">
        <f>Tabelle1[[#This Row],[Net Sales Price]]-Tabelle1[[#This Row],[Variable Costs]]</f>
        <v>-2.35310508474576</v>
      </c>
    </row>
    <row r="376" spans="1:10" ht="14.25" customHeight="1" x14ac:dyDescent="0.25">
      <c r="A376" s="8" t="s">
        <v>384</v>
      </c>
      <c r="B376" s="1">
        <v>6.98</v>
      </c>
      <c r="C376" s="1">
        <v>36.950000000000003</v>
      </c>
      <c r="D376" s="1">
        <f>Tabelle1[[#This Row],[Gross Sales Price]]/1.18</f>
        <v>31.313559322033903</v>
      </c>
      <c r="E376" s="1">
        <f>Tabelle1[[#This Row],[Gross Sales Price]]*0.12</f>
        <v>4.4340000000000002</v>
      </c>
      <c r="F376" s="1">
        <v>0.4</v>
      </c>
      <c r="G376" s="1">
        <v>3</v>
      </c>
      <c r="H376" s="1">
        <v>2</v>
      </c>
      <c r="I376" s="2">
        <f>Tabelle1[[#This Row],[Base Price]]+Tabelle1[[#This Row],[Total Selling Costs
	]]+Tabelle1[[#This Row],[DHL Costs]]+Tabelle1[[#This Row],[Handling Costs]]+Tabelle1[[#This Row],[Fixed Costs]]</f>
        <v>16.814</v>
      </c>
      <c r="J376" s="1">
        <f>Tabelle1[[#This Row],[Net Sales Price]]-Tabelle1[[#This Row],[Variable Costs]]</f>
        <v>14.499559322033903</v>
      </c>
    </row>
    <row r="377" spans="1:10" ht="14.25" customHeight="1" x14ac:dyDescent="0.25">
      <c r="A377" s="8" t="s">
        <v>385</v>
      </c>
      <c r="B377" s="1">
        <v>2.3199999999999998</v>
      </c>
      <c r="C377" s="1">
        <v>17.5</v>
      </c>
      <c r="D377" s="1">
        <f>Tabelle1[[#This Row],[Gross Sales Price]]/1.18</f>
        <v>14.830508474576272</v>
      </c>
      <c r="E377" s="1">
        <f>Tabelle1[[#This Row],[Gross Sales Price]]*0.12</f>
        <v>2.1</v>
      </c>
      <c r="F377" s="1">
        <v>0.4</v>
      </c>
      <c r="G377" s="1">
        <v>3</v>
      </c>
      <c r="H377" s="1">
        <v>2</v>
      </c>
      <c r="I377" s="2">
        <f>Tabelle1[[#This Row],[Base Price]]+Tabelle1[[#This Row],[Total Selling Costs
	]]+Tabelle1[[#This Row],[DHL Costs]]+Tabelle1[[#This Row],[Handling Costs]]+Tabelle1[[#This Row],[Fixed Costs]]</f>
        <v>9.82</v>
      </c>
      <c r="J377" s="1">
        <f>Tabelle1[[#This Row],[Net Sales Price]]-Tabelle1[[#This Row],[Variable Costs]]</f>
        <v>5.0105084745762714</v>
      </c>
    </row>
    <row r="378" spans="1:10" ht="14.25" customHeight="1" x14ac:dyDescent="0.25">
      <c r="A378" s="8" t="s">
        <v>386</v>
      </c>
      <c r="B378" s="1">
        <v>12.89</v>
      </c>
      <c r="C378" s="1">
        <v>22.54</v>
      </c>
      <c r="D378" s="1">
        <f>Tabelle1[[#This Row],[Gross Sales Price]]/1.18</f>
        <v>19.101694915254239</v>
      </c>
      <c r="E378" s="1">
        <f>Tabelle1[[#This Row],[Gross Sales Price]]*0.12</f>
        <v>2.7047999999999996</v>
      </c>
      <c r="F378" s="1">
        <v>0.4</v>
      </c>
      <c r="G378" s="1">
        <v>3</v>
      </c>
      <c r="H378" s="1">
        <v>2</v>
      </c>
      <c r="I378" s="2">
        <f>Tabelle1[[#This Row],[Base Price]]+Tabelle1[[#This Row],[Total Selling Costs
	]]+Tabelle1[[#This Row],[DHL Costs]]+Tabelle1[[#This Row],[Handling Costs]]+Tabelle1[[#This Row],[Fixed Costs]]</f>
        <v>20.994799999999998</v>
      </c>
      <c r="J378" s="1">
        <f>Tabelle1[[#This Row],[Net Sales Price]]-Tabelle1[[#This Row],[Variable Costs]]</f>
        <v>-1.8931050847457591</v>
      </c>
    </row>
    <row r="379" spans="1:10" ht="14.25" customHeight="1" x14ac:dyDescent="0.25">
      <c r="A379" s="8" t="s">
        <v>387</v>
      </c>
      <c r="B379" s="1">
        <v>15.14</v>
      </c>
      <c r="C379" s="1">
        <v>6.37</v>
      </c>
      <c r="D379" s="1">
        <f>Tabelle1[[#This Row],[Gross Sales Price]]/1.18</f>
        <v>5.398305084745763</v>
      </c>
      <c r="E379" s="1">
        <f>Tabelle1[[#This Row],[Gross Sales Price]]*0.12</f>
        <v>0.76439999999999997</v>
      </c>
      <c r="F379" s="1">
        <v>0.4</v>
      </c>
      <c r="G379" s="1">
        <v>3</v>
      </c>
      <c r="H379" s="1">
        <v>2</v>
      </c>
      <c r="I379" s="2">
        <f>Tabelle1[[#This Row],[Base Price]]+Tabelle1[[#This Row],[Total Selling Costs
	]]+Tabelle1[[#This Row],[DHL Costs]]+Tabelle1[[#This Row],[Handling Costs]]+Tabelle1[[#This Row],[Fixed Costs]]</f>
        <v>21.304400000000001</v>
      </c>
      <c r="J379" s="1">
        <f>Tabelle1[[#This Row],[Net Sales Price]]-Tabelle1[[#This Row],[Variable Costs]]</f>
        <v>-15.906094915254238</v>
      </c>
    </row>
    <row r="380" spans="1:10" ht="14.25" customHeight="1" x14ac:dyDescent="0.25">
      <c r="A380" s="8" t="s">
        <v>388</v>
      </c>
      <c r="B380" s="1">
        <v>10.68</v>
      </c>
      <c r="C380" s="1">
        <v>18</v>
      </c>
      <c r="D380" s="1">
        <f>Tabelle1[[#This Row],[Gross Sales Price]]/1.18</f>
        <v>15.254237288135593</v>
      </c>
      <c r="E380" s="1">
        <f>Tabelle1[[#This Row],[Gross Sales Price]]*0.12</f>
        <v>2.16</v>
      </c>
      <c r="F380" s="1">
        <v>0.4</v>
      </c>
      <c r="G380" s="1">
        <v>3</v>
      </c>
      <c r="H380" s="1">
        <v>2</v>
      </c>
      <c r="I380" s="2">
        <f>Tabelle1[[#This Row],[Base Price]]+Tabelle1[[#This Row],[Total Selling Costs
	]]+Tabelle1[[#This Row],[DHL Costs]]+Tabelle1[[#This Row],[Handling Costs]]+Tabelle1[[#This Row],[Fixed Costs]]</f>
        <v>18.239999999999998</v>
      </c>
      <c r="J380" s="1">
        <f>Tabelle1[[#This Row],[Net Sales Price]]-Tabelle1[[#This Row],[Variable Costs]]</f>
        <v>-2.985762711864405</v>
      </c>
    </row>
    <row r="381" spans="1:10" ht="14.25" customHeight="1" x14ac:dyDescent="0.25">
      <c r="A381" s="8" t="s">
        <v>389</v>
      </c>
      <c r="B381" s="1">
        <v>11.37</v>
      </c>
      <c r="C381" s="1">
        <v>37.14</v>
      </c>
      <c r="D381" s="1">
        <f>Tabelle1[[#This Row],[Gross Sales Price]]/1.18</f>
        <v>31.474576271186443</v>
      </c>
      <c r="E381" s="1">
        <f>Tabelle1[[#This Row],[Gross Sales Price]]*0.12</f>
        <v>4.4568000000000003</v>
      </c>
      <c r="F381" s="1">
        <v>0.4</v>
      </c>
      <c r="G381" s="1">
        <v>3</v>
      </c>
      <c r="H381" s="1">
        <v>2</v>
      </c>
      <c r="I381" s="2">
        <f>Tabelle1[[#This Row],[Base Price]]+Tabelle1[[#This Row],[Total Selling Costs
	]]+Tabelle1[[#This Row],[DHL Costs]]+Tabelle1[[#This Row],[Handling Costs]]+Tabelle1[[#This Row],[Fixed Costs]]</f>
        <v>21.226799999999997</v>
      </c>
      <c r="J381" s="1">
        <f>Tabelle1[[#This Row],[Net Sales Price]]-Tabelle1[[#This Row],[Variable Costs]]</f>
        <v>10.247776271186446</v>
      </c>
    </row>
    <row r="382" spans="1:10" ht="14.25" customHeight="1" x14ac:dyDescent="0.25">
      <c r="A382" s="8" t="s">
        <v>390</v>
      </c>
      <c r="B382" s="1">
        <v>15.38</v>
      </c>
      <c r="C382" s="1">
        <v>3.07</v>
      </c>
      <c r="D382" s="1">
        <f>Tabelle1[[#This Row],[Gross Sales Price]]/1.18</f>
        <v>2.6016949152542375</v>
      </c>
      <c r="E382" s="1">
        <f>Tabelle1[[#This Row],[Gross Sales Price]]*0.12</f>
        <v>0.36839999999999995</v>
      </c>
      <c r="F382" s="1">
        <v>0.4</v>
      </c>
      <c r="G382" s="1">
        <v>3</v>
      </c>
      <c r="H382" s="1">
        <v>2</v>
      </c>
      <c r="I382" s="2">
        <f>Tabelle1[[#This Row],[Base Price]]+Tabelle1[[#This Row],[Total Selling Costs
	]]+Tabelle1[[#This Row],[DHL Costs]]+Tabelle1[[#This Row],[Handling Costs]]+Tabelle1[[#This Row],[Fixed Costs]]</f>
        <v>21.148399999999999</v>
      </c>
      <c r="J382" s="1">
        <f>Tabelle1[[#This Row],[Net Sales Price]]-Tabelle1[[#This Row],[Variable Costs]]</f>
        <v>-18.54670508474576</v>
      </c>
    </row>
    <row r="383" spans="1:10" ht="14.25" customHeight="1" x14ac:dyDescent="0.25">
      <c r="A383" s="8" t="s">
        <v>391</v>
      </c>
      <c r="B383" s="1">
        <v>9.94</v>
      </c>
      <c r="C383" s="1">
        <v>30.27</v>
      </c>
      <c r="D383" s="1">
        <f>Tabelle1[[#This Row],[Gross Sales Price]]/1.18</f>
        <v>25.652542372881356</v>
      </c>
      <c r="E383" s="1">
        <f>Tabelle1[[#This Row],[Gross Sales Price]]*0.12</f>
        <v>3.6323999999999996</v>
      </c>
      <c r="F383" s="1">
        <v>0.4</v>
      </c>
      <c r="G383" s="1">
        <v>3</v>
      </c>
      <c r="H383" s="1">
        <v>2</v>
      </c>
      <c r="I383" s="2">
        <f>Tabelle1[[#This Row],[Base Price]]+Tabelle1[[#This Row],[Total Selling Costs
	]]+Tabelle1[[#This Row],[DHL Costs]]+Tabelle1[[#This Row],[Handling Costs]]+Tabelle1[[#This Row],[Fixed Costs]]</f>
        <v>18.972399999999997</v>
      </c>
      <c r="J383" s="1">
        <f>Tabelle1[[#This Row],[Net Sales Price]]-Tabelle1[[#This Row],[Variable Costs]]</f>
        <v>6.6801423728813596</v>
      </c>
    </row>
    <row r="384" spans="1:10" ht="14.25" customHeight="1" x14ac:dyDescent="0.25">
      <c r="A384" s="8" t="s">
        <v>392</v>
      </c>
      <c r="B384" s="1">
        <v>19.059999999999999</v>
      </c>
      <c r="C384" s="1">
        <v>18.309999999999999</v>
      </c>
      <c r="D384" s="1">
        <f>Tabelle1[[#This Row],[Gross Sales Price]]/1.18</f>
        <v>15.516949152542372</v>
      </c>
      <c r="E384" s="1">
        <f>Tabelle1[[#This Row],[Gross Sales Price]]*0.12</f>
        <v>2.1971999999999996</v>
      </c>
      <c r="F384" s="1">
        <v>0.4</v>
      </c>
      <c r="G384" s="1">
        <v>3</v>
      </c>
      <c r="H384" s="1">
        <v>2</v>
      </c>
      <c r="I384" s="2">
        <f>Tabelle1[[#This Row],[Base Price]]+Tabelle1[[#This Row],[Total Selling Costs
	]]+Tabelle1[[#This Row],[DHL Costs]]+Tabelle1[[#This Row],[Handling Costs]]+Tabelle1[[#This Row],[Fixed Costs]]</f>
        <v>26.657199999999996</v>
      </c>
      <c r="J384" s="1">
        <f>Tabelle1[[#This Row],[Net Sales Price]]-Tabelle1[[#This Row],[Variable Costs]]</f>
        <v>-11.140250847457624</v>
      </c>
    </row>
    <row r="385" spans="1:10" ht="14.25" customHeight="1" x14ac:dyDescent="0.25">
      <c r="A385" s="8" t="s">
        <v>393</v>
      </c>
      <c r="B385" s="1">
        <v>1.43</v>
      </c>
      <c r="C385" s="1">
        <v>17.670000000000002</v>
      </c>
      <c r="D385" s="1">
        <f>Tabelle1[[#This Row],[Gross Sales Price]]/1.18</f>
        <v>14.974576271186443</v>
      </c>
      <c r="E385" s="1">
        <f>Tabelle1[[#This Row],[Gross Sales Price]]*0.12</f>
        <v>2.1204000000000001</v>
      </c>
      <c r="F385" s="1">
        <v>0.4</v>
      </c>
      <c r="G385" s="1">
        <v>3</v>
      </c>
      <c r="H385" s="1">
        <v>2</v>
      </c>
      <c r="I385" s="2">
        <f>Tabelle1[[#This Row],[Base Price]]+Tabelle1[[#This Row],[Total Selling Costs
	]]+Tabelle1[[#This Row],[DHL Costs]]+Tabelle1[[#This Row],[Handling Costs]]+Tabelle1[[#This Row],[Fixed Costs]]</f>
        <v>8.9504000000000001</v>
      </c>
      <c r="J385" s="1">
        <f>Tabelle1[[#This Row],[Net Sales Price]]-Tabelle1[[#This Row],[Variable Costs]]</f>
        <v>6.0241762711864428</v>
      </c>
    </row>
    <row r="386" spans="1:10" ht="14.25" customHeight="1" x14ac:dyDescent="0.25">
      <c r="A386" s="8" t="s">
        <v>394</v>
      </c>
      <c r="B386" s="1">
        <v>12.55</v>
      </c>
      <c r="C386" s="1">
        <v>28.44</v>
      </c>
      <c r="D386" s="1">
        <f>Tabelle1[[#This Row],[Gross Sales Price]]/1.18</f>
        <v>24.101694915254239</v>
      </c>
      <c r="E386" s="1">
        <f>Tabelle1[[#This Row],[Gross Sales Price]]*0.12</f>
        <v>3.4127999999999998</v>
      </c>
      <c r="F386" s="1">
        <v>0.4</v>
      </c>
      <c r="G386" s="1">
        <v>3</v>
      </c>
      <c r="H386" s="1">
        <v>2</v>
      </c>
      <c r="I386" s="2">
        <f>Tabelle1[[#This Row],[Base Price]]+Tabelle1[[#This Row],[Total Selling Costs
	]]+Tabelle1[[#This Row],[DHL Costs]]+Tabelle1[[#This Row],[Handling Costs]]+Tabelle1[[#This Row],[Fixed Costs]]</f>
        <v>21.3628</v>
      </c>
      <c r="J386" s="1">
        <f>Tabelle1[[#This Row],[Net Sales Price]]-Tabelle1[[#This Row],[Variable Costs]]</f>
        <v>2.7388949152542388</v>
      </c>
    </row>
    <row r="387" spans="1:10" ht="14.25" customHeight="1" x14ac:dyDescent="0.25">
      <c r="A387" s="8" t="s">
        <v>395</v>
      </c>
      <c r="B387" s="1">
        <v>4.96</v>
      </c>
      <c r="C387" s="1">
        <v>30.16</v>
      </c>
      <c r="D387" s="1">
        <f>Tabelle1[[#This Row],[Gross Sales Price]]/1.18</f>
        <v>25.559322033898308</v>
      </c>
      <c r="E387" s="1">
        <f>Tabelle1[[#This Row],[Gross Sales Price]]*0.12</f>
        <v>3.6191999999999998</v>
      </c>
      <c r="F387" s="1">
        <v>0.4</v>
      </c>
      <c r="G387" s="1">
        <v>3</v>
      </c>
      <c r="H387" s="1">
        <v>2</v>
      </c>
      <c r="I387" s="2">
        <f>Tabelle1[[#This Row],[Base Price]]+Tabelle1[[#This Row],[Total Selling Costs
	]]+Tabelle1[[#This Row],[DHL Costs]]+Tabelle1[[#This Row],[Handling Costs]]+Tabelle1[[#This Row],[Fixed Costs]]</f>
        <v>13.979200000000001</v>
      </c>
      <c r="J387" s="1">
        <f>Tabelle1[[#This Row],[Net Sales Price]]-Tabelle1[[#This Row],[Variable Costs]]</f>
        <v>11.580122033898308</v>
      </c>
    </row>
    <row r="388" spans="1:10" ht="14.25" customHeight="1" x14ac:dyDescent="0.25">
      <c r="A388" s="8" t="s">
        <v>396</v>
      </c>
      <c r="B388" s="1">
        <v>4.37</v>
      </c>
      <c r="C388" s="1">
        <v>17.95</v>
      </c>
      <c r="D388" s="1">
        <f>Tabelle1[[#This Row],[Gross Sales Price]]/1.18</f>
        <v>15.211864406779661</v>
      </c>
      <c r="E388" s="1">
        <f>Tabelle1[[#This Row],[Gross Sales Price]]*0.12</f>
        <v>2.1539999999999999</v>
      </c>
      <c r="F388" s="1">
        <v>0.4</v>
      </c>
      <c r="G388" s="1">
        <v>3</v>
      </c>
      <c r="H388" s="1">
        <v>2</v>
      </c>
      <c r="I388" s="2">
        <f>Tabelle1[[#This Row],[Base Price]]+Tabelle1[[#This Row],[Total Selling Costs
	]]+Tabelle1[[#This Row],[DHL Costs]]+Tabelle1[[#This Row],[Handling Costs]]+Tabelle1[[#This Row],[Fixed Costs]]</f>
        <v>11.924000000000001</v>
      </c>
      <c r="J388" s="1">
        <f>Tabelle1[[#This Row],[Net Sales Price]]-Tabelle1[[#This Row],[Variable Costs]]</f>
        <v>3.2878644067796596</v>
      </c>
    </row>
    <row r="389" spans="1:10" ht="14.25" customHeight="1" x14ac:dyDescent="0.25">
      <c r="A389" s="8" t="s">
        <v>397</v>
      </c>
      <c r="B389" s="1">
        <v>17.52</v>
      </c>
      <c r="C389" s="1">
        <v>34.67</v>
      </c>
      <c r="D389" s="1">
        <f>Tabelle1[[#This Row],[Gross Sales Price]]/1.18</f>
        <v>29.381355932203395</v>
      </c>
      <c r="E389" s="1">
        <f>Tabelle1[[#This Row],[Gross Sales Price]]*0.12</f>
        <v>4.1604000000000001</v>
      </c>
      <c r="F389" s="1">
        <v>0.4</v>
      </c>
      <c r="G389" s="1">
        <v>3</v>
      </c>
      <c r="H389" s="1">
        <v>2</v>
      </c>
      <c r="I389" s="2">
        <f>Tabelle1[[#This Row],[Base Price]]+Tabelle1[[#This Row],[Total Selling Costs
	]]+Tabelle1[[#This Row],[DHL Costs]]+Tabelle1[[#This Row],[Handling Costs]]+Tabelle1[[#This Row],[Fixed Costs]]</f>
        <v>27.080399999999997</v>
      </c>
      <c r="J389" s="1">
        <f>Tabelle1[[#This Row],[Net Sales Price]]-Tabelle1[[#This Row],[Variable Costs]]</f>
        <v>2.3009559322033972</v>
      </c>
    </row>
    <row r="390" spans="1:10" ht="14.25" customHeight="1" x14ac:dyDescent="0.25">
      <c r="A390" s="8" t="s">
        <v>398</v>
      </c>
      <c r="B390" s="1">
        <v>13.8</v>
      </c>
      <c r="C390" s="1">
        <v>22.6</v>
      </c>
      <c r="D390" s="1">
        <f>Tabelle1[[#This Row],[Gross Sales Price]]/1.18</f>
        <v>19.152542372881356</v>
      </c>
      <c r="E390" s="1">
        <f>Tabelle1[[#This Row],[Gross Sales Price]]*0.12</f>
        <v>2.7120000000000002</v>
      </c>
      <c r="F390" s="1">
        <v>0.4</v>
      </c>
      <c r="G390" s="1">
        <v>3</v>
      </c>
      <c r="H390" s="1">
        <v>2</v>
      </c>
      <c r="I390" s="2">
        <f>Tabelle1[[#This Row],[Base Price]]+Tabelle1[[#This Row],[Total Selling Costs
	]]+Tabelle1[[#This Row],[DHL Costs]]+Tabelle1[[#This Row],[Handling Costs]]+Tabelle1[[#This Row],[Fixed Costs]]</f>
        <v>21.911999999999999</v>
      </c>
      <c r="J390" s="1">
        <f>Tabelle1[[#This Row],[Net Sales Price]]-Tabelle1[[#This Row],[Variable Costs]]</f>
        <v>-2.7594576271186426</v>
      </c>
    </row>
    <row r="391" spans="1:10" ht="14.25" customHeight="1" x14ac:dyDescent="0.25">
      <c r="A391" s="8" t="s">
        <v>399</v>
      </c>
      <c r="B391" s="1">
        <v>6.93</v>
      </c>
      <c r="C391" s="1">
        <v>11.92</v>
      </c>
      <c r="D391" s="1">
        <f>Tabelle1[[#This Row],[Gross Sales Price]]/1.18</f>
        <v>10.101694915254237</v>
      </c>
      <c r="E391" s="1">
        <f>Tabelle1[[#This Row],[Gross Sales Price]]*0.12</f>
        <v>1.4303999999999999</v>
      </c>
      <c r="F391" s="1">
        <v>0.4</v>
      </c>
      <c r="G391" s="1">
        <v>3</v>
      </c>
      <c r="H391" s="1">
        <v>2</v>
      </c>
      <c r="I391" s="2">
        <f>Tabelle1[[#This Row],[Base Price]]+Tabelle1[[#This Row],[Total Selling Costs
	]]+Tabelle1[[#This Row],[DHL Costs]]+Tabelle1[[#This Row],[Handling Costs]]+Tabelle1[[#This Row],[Fixed Costs]]</f>
        <v>13.760400000000001</v>
      </c>
      <c r="J391" s="1">
        <f>Tabelle1[[#This Row],[Net Sales Price]]-Tabelle1[[#This Row],[Variable Costs]]</f>
        <v>-3.6587050847457636</v>
      </c>
    </row>
    <row r="392" spans="1:10" ht="14.25" customHeight="1" x14ac:dyDescent="0.25">
      <c r="A392" s="8" t="s">
        <v>400</v>
      </c>
      <c r="B392" s="1">
        <v>19.91</v>
      </c>
      <c r="C392" s="1">
        <v>39.909999999999997</v>
      </c>
      <c r="D392" s="1">
        <f>Tabelle1[[#This Row],[Gross Sales Price]]/1.18</f>
        <v>33.822033898305087</v>
      </c>
      <c r="E392" s="1">
        <f>Tabelle1[[#This Row],[Gross Sales Price]]*0.12</f>
        <v>4.7891999999999992</v>
      </c>
      <c r="F392" s="1">
        <v>0.4</v>
      </c>
      <c r="G392" s="1">
        <v>3</v>
      </c>
      <c r="H392" s="1">
        <v>2</v>
      </c>
      <c r="I392" s="2">
        <f>Tabelle1[[#This Row],[Base Price]]+Tabelle1[[#This Row],[Total Selling Costs
	]]+Tabelle1[[#This Row],[DHL Costs]]+Tabelle1[[#This Row],[Handling Costs]]+Tabelle1[[#This Row],[Fixed Costs]]</f>
        <v>30.099199999999996</v>
      </c>
      <c r="J392" s="1">
        <f>Tabelle1[[#This Row],[Net Sales Price]]-Tabelle1[[#This Row],[Variable Costs]]</f>
        <v>3.7228338983050904</v>
      </c>
    </row>
    <row r="393" spans="1:10" ht="14.25" customHeight="1" x14ac:dyDescent="0.25">
      <c r="A393" s="8" t="s">
        <v>401</v>
      </c>
      <c r="B393" s="1">
        <v>1.42</v>
      </c>
      <c r="C393" s="1">
        <v>34.17</v>
      </c>
      <c r="D393" s="1">
        <f>Tabelle1[[#This Row],[Gross Sales Price]]/1.18</f>
        <v>28.957627118644069</v>
      </c>
      <c r="E393" s="1">
        <f>Tabelle1[[#This Row],[Gross Sales Price]]*0.12</f>
        <v>4.1004000000000005</v>
      </c>
      <c r="F393" s="1">
        <v>0.4</v>
      </c>
      <c r="G393" s="1">
        <v>3</v>
      </c>
      <c r="H393" s="1">
        <v>2</v>
      </c>
      <c r="I393" s="2">
        <f>Tabelle1[[#This Row],[Base Price]]+Tabelle1[[#This Row],[Total Selling Costs
	]]+Tabelle1[[#This Row],[DHL Costs]]+Tabelle1[[#This Row],[Handling Costs]]+Tabelle1[[#This Row],[Fixed Costs]]</f>
        <v>10.920400000000001</v>
      </c>
      <c r="J393" s="1">
        <f>Tabelle1[[#This Row],[Net Sales Price]]-Tabelle1[[#This Row],[Variable Costs]]</f>
        <v>18.037227118644068</v>
      </c>
    </row>
    <row r="394" spans="1:10" ht="14.25" customHeight="1" x14ac:dyDescent="0.25">
      <c r="A394" s="8" t="s">
        <v>402</v>
      </c>
      <c r="B394" s="1">
        <v>16.350000000000001</v>
      </c>
      <c r="C394" s="1">
        <v>24.27</v>
      </c>
      <c r="D394" s="1">
        <f>Tabelle1[[#This Row],[Gross Sales Price]]/1.18</f>
        <v>20.567796610169491</v>
      </c>
      <c r="E394" s="1">
        <f>Tabelle1[[#This Row],[Gross Sales Price]]*0.12</f>
        <v>2.9123999999999999</v>
      </c>
      <c r="F394" s="1">
        <v>0.4</v>
      </c>
      <c r="G394" s="1">
        <v>3</v>
      </c>
      <c r="H394" s="1">
        <v>2</v>
      </c>
      <c r="I394" s="2">
        <f>Tabelle1[[#This Row],[Base Price]]+Tabelle1[[#This Row],[Total Selling Costs
	]]+Tabelle1[[#This Row],[DHL Costs]]+Tabelle1[[#This Row],[Handling Costs]]+Tabelle1[[#This Row],[Fixed Costs]]</f>
        <v>24.662399999999998</v>
      </c>
      <c r="J394" s="1">
        <f>Tabelle1[[#This Row],[Net Sales Price]]-Tabelle1[[#This Row],[Variable Costs]]</f>
        <v>-4.0946033898305068</v>
      </c>
    </row>
    <row r="395" spans="1:10" ht="14.25" customHeight="1" x14ac:dyDescent="0.25">
      <c r="A395" s="8" t="s">
        <v>403</v>
      </c>
      <c r="B395" s="1">
        <v>15.82</v>
      </c>
      <c r="C395" s="1">
        <v>33.409999999999997</v>
      </c>
      <c r="D395" s="1">
        <f>Tabelle1[[#This Row],[Gross Sales Price]]/1.18</f>
        <v>28.313559322033896</v>
      </c>
      <c r="E395" s="1">
        <f>Tabelle1[[#This Row],[Gross Sales Price]]*0.12</f>
        <v>4.0091999999999999</v>
      </c>
      <c r="F395" s="1">
        <v>0.4</v>
      </c>
      <c r="G395" s="1">
        <v>3</v>
      </c>
      <c r="H395" s="1">
        <v>2</v>
      </c>
      <c r="I395" s="2">
        <f>Tabelle1[[#This Row],[Base Price]]+Tabelle1[[#This Row],[Total Selling Costs
	]]+Tabelle1[[#This Row],[DHL Costs]]+Tabelle1[[#This Row],[Handling Costs]]+Tabelle1[[#This Row],[Fixed Costs]]</f>
        <v>25.229199999999999</v>
      </c>
      <c r="J395" s="1">
        <f>Tabelle1[[#This Row],[Net Sales Price]]-Tabelle1[[#This Row],[Variable Costs]]</f>
        <v>3.0843593220338974</v>
      </c>
    </row>
    <row r="396" spans="1:10" ht="14.25" customHeight="1" x14ac:dyDescent="0.25">
      <c r="A396" s="8" t="s">
        <v>404</v>
      </c>
      <c r="B396" s="1">
        <v>5.15</v>
      </c>
      <c r="C396" s="1">
        <v>3.92</v>
      </c>
      <c r="D396" s="1">
        <f>Tabelle1[[#This Row],[Gross Sales Price]]/1.18</f>
        <v>3.3220338983050848</v>
      </c>
      <c r="E396" s="1">
        <f>Tabelle1[[#This Row],[Gross Sales Price]]*0.12</f>
        <v>0.47039999999999998</v>
      </c>
      <c r="F396" s="1">
        <v>0.4</v>
      </c>
      <c r="G396" s="1">
        <v>3</v>
      </c>
      <c r="H396" s="1">
        <v>2</v>
      </c>
      <c r="I396" s="2">
        <f>Tabelle1[[#This Row],[Base Price]]+Tabelle1[[#This Row],[Total Selling Costs
	]]+Tabelle1[[#This Row],[DHL Costs]]+Tabelle1[[#This Row],[Handling Costs]]+Tabelle1[[#This Row],[Fixed Costs]]</f>
        <v>11.0204</v>
      </c>
      <c r="J396" s="1">
        <f>Tabelle1[[#This Row],[Net Sales Price]]-Tabelle1[[#This Row],[Variable Costs]]</f>
        <v>-7.6983661016949156</v>
      </c>
    </row>
    <row r="397" spans="1:10" ht="14.25" customHeight="1" x14ac:dyDescent="0.25">
      <c r="A397" s="8" t="s">
        <v>405</v>
      </c>
      <c r="B397" s="1">
        <v>11.52</v>
      </c>
      <c r="C397" s="1">
        <v>19.46</v>
      </c>
      <c r="D397" s="1">
        <f>Tabelle1[[#This Row],[Gross Sales Price]]/1.18</f>
        <v>16.491525423728817</v>
      </c>
      <c r="E397" s="1">
        <f>Tabelle1[[#This Row],[Gross Sales Price]]*0.12</f>
        <v>2.3351999999999999</v>
      </c>
      <c r="F397" s="1">
        <v>0.4</v>
      </c>
      <c r="G397" s="1">
        <v>3</v>
      </c>
      <c r="H397" s="1">
        <v>2</v>
      </c>
      <c r="I397" s="2">
        <f>Tabelle1[[#This Row],[Base Price]]+Tabelle1[[#This Row],[Total Selling Costs
	]]+Tabelle1[[#This Row],[DHL Costs]]+Tabelle1[[#This Row],[Handling Costs]]+Tabelle1[[#This Row],[Fixed Costs]]</f>
        <v>19.255199999999999</v>
      </c>
      <c r="J397" s="1">
        <f>Tabelle1[[#This Row],[Net Sales Price]]-Tabelle1[[#This Row],[Variable Costs]]</f>
        <v>-2.7636745762711818</v>
      </c>
    </row>
    <row r="398" spans="1:10" ht="14.25" customHeight="1" x14ac:dyDescent="0.25">
      <c r="A398" s="8" t="s">
        <v>406</v>
      </c>
      <c r="B398" s="1">
        <v>1.18</v>
      </c>
      <c r="C398" s="1">
        <v>34.26</v>
      </c>
      <c r="D398" s="1">
        <f>Tabelle1[[#This Row],[Gross Sales Price]]/1.18</f>
        <v>29.033898305084744</v>
      </c>
      <c r="E398" s="1">
        <f>Tabelle1[[#This Row],[Gross Sales Price]]*0.12</f>
        <v>4.1111999999999993</v>
      </c>
      <c r="F398" s="1">
        <v>0.4</v>
      </c>
      <c r="G398" s="1">
        <v>3</v>
      </c>
      <c r="H398" s="1">
        <v>2</v>
      </c>
      <c r="I398" s="2">
        <f>Tabelle1[[#This Row],[Base Price]]+Tabelle1[[#This Row],[Total Selling Costs
	]]+Tabelle1[[#This Row],[DHL Costs]]+Tabelle1[[#This Row],[Handling Costs]]+Tabelle1[[#This Row],[Fixed Costs]]</f>
        <v>10.6912</v>
      </c>
      <c r="J398" s="1">
        <f>Tabelle1[[#This Row],[Net Sales Price]]-Tabelle1[[#This Row],[Variable Costs]]</f>
        <v>18.342698305084745</v>
      </c>
    </row>
    <row r="399" spans="1:10" ht="14.25" customHeight="1" x14ac:dyDescent="0.25">
      <c r="A399" s="8" t="s">
        <v>407</v>
      </c>
      <c r="B399" s="1">
        <v>10.5</v>
      </c>
      <c r="C399" s="1">
        <v>4.51</v>
      </c>
      <c r="D399" s="1">
        <f>Tabelle1[[#This Row],[Gross Sales Price]]/1.18</f>
        <v>3.8220338983050848</v>
      </c>
      <c r="E399" s="1">
        <f>Tabelle1[[#This Row],[Gross Sales Price]]*0.12</f>
        <v>0.5411999999999999</v>
      </c>
      <c r="F399" s="1">
        <v>0.4</v>
      </c>
      <c r="G399" s="1">
        <v>3</v>
      </c>
      <c r="H399" s="1">
        <v>2</v>
      </c>
      <c r="I399" s="2">
        <f>Tabelle1[[#This Row],[Base Price]]+Tabelle1[[#This Row],[Total Selling Costs
	]]+Tabelle1[[#This Row],[DHL Costs]]+Tabelle1[[#This Row],[Handling Costs]]+Tabelle1[[#This Row],[Fixed Costs]]</f>
        <v>16.441199999999998</v>
      </c>
      <c r="J399" s="1">
        <f>Tabelle1[[#This Row],[Net Sales Price]]-Tabelle1[[#This Row],[Variable Costs]]</f>
        <v>-12.619166101694914</v>
      </c>
    </row>
    <row r="400" spans="1:10" ht="14.25" customHeight="1" x14ac:dyDescent="0.25">
      <c r="A400" s="8" t="s">
        <v>408</v>
      </c>
      <c r="B400" s="1">
        <v>1.1499999999999999</v>
      </c>
      <c r="C400" s="1">
        <v>18.989999999999998</v>
      </c>
      <c r="D400" s="1">
        <f>Tabelle1[[#This Row],[Gross Sales Price]]/1.18</f>
        <v>16.093220338983052</v>
      </c>
      <c r="E400" s="1">
        <f>Tabelle1[[#This Row],[Gross Sales Price]]*0.12</f>
        <v>2.2787999999999999</v>
      </c>
      <c r="F400" s="1">
        <v>0.4</v>
      </c>
      <c r="G400" s="1">
        <v>3</v>
      </c>
      <c r="H400" s="1">
        <v>2</v>
      </c>
      <c r="I400" s="2">
        <f>Tabelle1[[#This Row],[Base Price]]+Tabelle1[[#This Row],[Total Selling Costs
	]]+Tabelle1[[#This Row],[DHL Costs]]+Tabelle1[[#This Row],[Handling Costs]]+Tabelle1[[#This Row],[Fixed Costs]]</f>
        <v>8.8287999999999993</v>
      </c>
      <c r="J400" s="1">
        <f>Tabelle1[[#This Row],[Net Sales Price]]-Tabelle1[[#This Row],[Variable Costs]]</f>
        <v>7.2644203389830526</v>
      </c>
    </row>
    <row r="401" spans="1:10" ht="14.25" customHeight="1" x14ac:dyDescent="0.25">
      <c r="A401" s="8" t="s">
        <v>409</v>
      </c>
      <c r="B401" s="1">
        <v>6.4</v>
      </c>
      <c r="C401" s="1">
        <v>12.52</v>
      </c>
      <c r="D401" s="1">
        <f>Tabelle1[[#This Row],[Gross Sales Price]]/1.18</f>
        <v>10.610169491525424</v>
      </c>
      <c r="E401" s="1">
        <f>Tabelle1[[#This Row],[Gross Sales Price]]*0.12</f>
        <v>1.5024</v>
      </c>
      <c r="F401" s="1">
        <v>0.4</v>
      </c>
      <c r="G401" s="1">
        <v>3</v>
      </c>
      <c r="H401" s="1">
        <v>2</v>
      </c>
      <c r="I401" s="2">
        <f>Tabelle1[[#This Row],[Base Price]]+Tabelle1[[#This Row],[Total Selling Costs
	]]+Tabelle1[[#This Row],[DHL Costs]]+Tabelle1[[#This Row],[Handling Costs]]+Tabelle1[[#This Row],[Fixed Costs]]</f>
        <v>13.3024</v>
      </c>
      <c r="J401" s="1">
        <f>Tabelle1[[#This Row],[Net Sales Price]]-Tabelle1[[#This Row],[Variable Costs]]</f>
        <v>-2.6922305084745766</v>
      </c>
    </row>
    <row r="402" spans="1:10" ht="14.25" customHeight="1" x14ac:dyDescent="0.25">
      <c r="A402" s="8" t="s">
        <v>410</v>
      </c>
      <c r="B402" s="1">
        <v>13.51</v>
      </c>
      <c r="C402" s="1">
        <v>29.79</v>
      </c>
      <c r="D402" s="1">
        <f>Tabelle1[[#This Row],[Gross Sales Price]]/1.18</f>
        <v>25.245762711864408</v>
      </c>
      <c r="E402" s="1">
        <f>Tabelle1[[#This Row],[Gross Sales Price]]*0.12</f>
        <v>3.5747999999999998</v>
      </c>
      <c r="F402" s="1">
        <v>0.4</v>
      </c>
      <c r="G402" s="1">
        <v>3</v>
      </c>
      <c r="H402" s="1">
        <v>2</v>
      </c>
      <c r="I402" s="2">
        <f>Tabelle1[[#This Row],[Base Price]]+Tabelle1[[#This Row],[Total Selling Costs
	]]+Tabelle1[[#This Row],[DHL Costs]]+Tabelle1[[#This Row],[Handling Costs]]+Tabelle1[[#This Row],[Fixed Costs]]</f>
        <v>22.4848</v>
      </c>
      <c r="J402" s="1">
        <f>Tabelle1[[#This Row],[Net Sales Price]]-Tabelle1[[#This Row],[Variable Costs]]</f>
        <v>2.7609627118644084</v>
      </c>
    </row>
    <row r="403" spans="1:10" ht="14.25" customHeight="1" x14ac:dyDescent="0.25">
      <c r="A403" s="8" t="s">
        <v>411</v>
      </c>
      <c r="B403" s="1">
        <v>19.52</v>
      </c>
      <c r="C403" s="1">
        <v>15.73</v>
      </c>
      <c r="D403" s="1">
        <f>Tabelle1[[#This Row],[Gross Sales Price]]/1.18</f>
        <v>13.330508474576272</v>
      </c>
      <c r="E403" s="1">
        <f>Tabelle1[[#This Row],[Gross Sales Price]]*0.12</f>
        <v>1.8875999999999999</v>
      </c>
      <c r="F403" s="1">
        <v>0.4</v>
      </c>
      <c r="G403" s="1">
        <v>3</v>
      </c>
      <c r="H403" s="1">
        <v>2</v>
      </c>
      <c r="I403" s="2">
        <f>Tabelle1[[#This Row],[Base Price]]+Tabelle1[[#This Row],[Total Selling Costs
	]]+Tabelle1[[#This Row],[DHL Costs]]+Tabelle1[[#This Row],[Handling Costs]]+Tabelle1[[#This Row],[Fixed Costs]]</f>
        <v>26.807599999999997</v>
      </c>
      <c r="J403" s="1">
        <f>Tabelle1[[#This Row],[Net Sales Price]]-Tabelle1[[#This Row],[Variable Costs]]</f>
        <v>-13.477091525423726</v>
      </c>
    </row>
    <row r="404" spans="1:10" ht="14.25" customHeight="1" x14ac:dyDescent="0.25">
      <c r="A404" s="8" t="s">
        <v>412</v>
      </c>
      <c r="B404" s="1">
        <v>6.2</v>
      </c>
      <c r="C404" s="1">
        <v>26.21</v>
      </c>
      <c r="D404" s="1">
        <f>Tabelle1[[#This Row],[Gross Sales Price]]/1.18</f>
        <v>22.211864406779664</v>
      </c>
      <c r="E404" s="1">
        <f>Tabelle1[[#This Row],[Gross Sales Price]]*0.12</f>
        <v>3.1452</v>
      </c>
      <c r="F404" s="1">
        <v>0.4</v>
      </c>
      <c r="G404" s="1">
        <v>3</v>
      </c>
      <c r="H404" s="1">
        <v>2</v>
      </c>
      <c r="I404" s="2">
        <f>Tabelle1[[#This Row],[Base Price]]+Tabelle1[[#This Row],[Total Selling Costs
	]]+Tabelle1[[#This Row],[DHL Costs]]+Tabelle1[[#This Row],[Handling Costs]]+Tabelle1[[#This Row],[Fixed Costs]]</f>
        <v>14.745200000000001</v>
      </c>
      <c r="J404" s="1">
        <f>Tabelle1[[#This Row],[Net Sales Price]]-Tabelle1[[#This Row],[Variable Costs]]</f>
        <v>7.4666644067796639</v>
      </c>
    </row>
    <row r="405" spans="1:10" ht="14.25" customHeight="1" x14ac:dyDescent="0.25">
      <c r="A405" s="8" t="s">
        <v>413</v>
      </c>
      <c r="B405" s="1">
        <v>17.97</v>
      </c>
      <c r="C405" s="1">
        <v>1.0900000000000001</v>
      </c>
      <c r="D405" s="1">
        <f>Tabelle1[[#This Row],[Gross Sales Price]]/1.18</f>
        <v>0.92372881355932213</v>
      </c>
      <c r="E405" s="1">
        <f>Tabelle1[[#This Row],[Gross Sales Price]]*0.12</f>
        <v>0.1308</v>
      </c>
      <c r="F405" s="1">
        <v>0.4</v>
      </c>
      <c r="G405" s="1">
        <v>3</v>
      </c>
      <c r="H405" s="1">
        <v>2</v>
      </c>
      <c r="I405" s="2">
        <f>Tabelle1[[#This Row],[Base Price]]+Tabelle1[[#This Row],[Total Selling Costs
	]]+Tabelle1[[#This Row],[DHL Costs]]+Tabelle1[[#This Row],[Handling Costs]]+Tabelle1[[#This Row],[Fixed Costs]]</f>
        <v>23.500799999999998</v>
      </c>
      <c r="J405" s="1">
        <f>Tabelle1[[#This Row],[Net Sales Price]]-Tabelle1[[#This Row],[Variable Costs]]</f>
        <v>-22.577071186440676</v>
      </c>
    </row>
    <row r="406" spans="1:10" ht="14.25" customHeight="1" x14ac:dyDescent="0.25">
      <c r="A406" s="8" t="s">
        <v>414</v>
      </c>
      <c r="B406" s="1">
        <v>9.56</v>
      </c>
      <c r="C406" s="1">
        <v>20.49</v>
      </c>
      <c r="D406" s="1">
        <f>Tabelle1[[#This Row],[Gross Sales Price]]/1.18</f>
        <v>17.364406779661017</v>
      </c>
      <c r="E406" s="1">
        <f>Tabelle1[[#This Row],[Gross Sales Price]]*0.12</f>
        <v>2.4587999999999997</v>
      </c>
      <c r="F406" s="1">
        <v>0.4</v>
      </c>
      <c r="G406" s="1">
        <v>3</v>
      </c>
      <c r="H406" s="1">
        <v>2</v>
      </c>
      <c r="I406" s="2">
        <f>Tabelle1[[#This Row],[Base Price]]+Tabelle1[[#This Row],[Total Selling Costs
	]]+Tabelle1[[#This Row],[DHL Costs]]+Tabelle1[[#This Row],[Handling Costs]]+Tabelle1[[#This Row],[Fixed Costs]]</f>
        <v>17.418799999999997</v>
      </c>
      <c r="J406" s="1">
        <f>Tabelle1[[#This Row],[Net Sales Price]]-Tabelle1[[#This Row],[Variable Costs]]</f>
        <v>-5.4393220338980086E-2</v>
      </c>
    </row>
    <row r="407" spans="1:10" ht="14.25" customHeight="1" x14ac:dyDescent="0.25">
      <c r="A407" s="8" t="s">
        <v>415</v>
      </c>
      <c r="B407" s="1">
        <v>19.39</v>
      </c>
      <c r="C407" s="1">
        <v>29.7</v>
      </c>
      <c r="D407" s="1">
        <f>Tabelle1[[#This Row],[Gross Sales Price]]/1.18</f>
        <v>25.16949152542373</v>
      </c>
      <c r="E407" s="1">
        <f>Tabelle1[[#This Row],[Gross Sales Price]]*0.12</f>
        <v>3.5639999999999996</v>
      </c>
      <c r="F407" s="1">
        <v>0.4</v>
      </c>
      <c r="G407" s="1">
        <v>3</v>
      </c>
      <c r="H407" s="1">
        <v>2</v>
      </c>
      <c r="I407" s="2">
        <f>Tabelle1[[#This Row],[Base Price]]+Tabelle1[[#This Row],[Total Selling Costs
	]]+Tabelle1[[#This Row],[DHL Costs]]+Tabelle1[[#This Row],[Handling Costs]]+Tabelle1[[#This Row],[Fixed Costs]]</f>
        <v>28.353999999999999</v>
      </c>
      <c r="J407" s="1">
        <f>Tabelle1[[#This Row],[Net Sales Price]]-Tabelle1[[#This Row],[Variable Costs]]</f>
        <v>-3.1845084745762691</v>
      </c>
    </row>
    <row r="408" spans="1:10" ht="14.25" customHeight="1" x14ac:dyDescent="0.25">
      <c r="A408" s="8" t="s">
        <v>416</v>
      </c>
      <c r="B408" s="1">
        <v>3.47</v>
      </c>
      <c r="C408" s="1">
        <v>35.51</v>
      </c>
      <c r="D408" s="1">
        <f>Tabelle1[[#This Row],[Gross Sales Price]]/1.18</f>
        <v>30.093220338983052</v>
      </c>
      <c r="E408" s="1">
        <f>Tabelle1[[#This Row],[Gross Sales Price]]*0.12</f>
        <v>4.2611999999999997</v>
      </c>
      <c r="F408" s="1">
        <v>0.4</v>
      </c>
      <c r="G408" s="1">
        <v>3</v>
      </c>
      <c r="H408" s="1">
        <v>2</v>
      </c>
      <c r="I408" s="2">
        <f>Tabelle1[[#This Row],[Base Price]]+Tabelle1[[#This Row],[Total Selling Costs
	]]+Tabelle1[[#This Row],[DHL Costs]]+Tabelle1[[#This Row],[Handling Costs]]+Tabelle1[[#This Row],[Fixed Costs]]</f>
        <v>13.1312</v>
      </c>
      <c r="J408" s="1">
        <f>Tabelle1[[#This Row],[Net Sales Price]]-Tabelle1[[#This Row],[Variable Costs]]</f>
        <v>16.962020338983052</v>
      </c>
    </row>
    <row r="409" spans="1:10" ht="14.25" customHeight="1" x14ac:dyDescent="0.25">
      <c r="A409" s="8" t="s">
        <v>417</v>
      </c>
      <c r="B409" s="1">
        <v>13.15</v>
      </c>
      <c r="C409" s="1">
        <v>37.11</v>
      </c>
      <c r="D409" s="1">
        <f>Tabelle1[[#This Row],[Gross Sales Price]]/1.18</f>
        <v>31.449152542372882</v>
      </c>
      <c r="E409" s="1">
        <f>Tabelle1[[#This Row],[Gross Sales Price]]*0.12</f>
        <v>4.4531999999999998</v>
      </c>
      <c r="F409" s="1">
        <v>0.4</v>
      </c>
      <c r="G409" s="1">
        <v>3</v>
      </c>
      <c r="H409" s="1">
        <v>2</v>
      </c>
      <c r="I409" s="2">
        <f>Tabelle1[[#This Row],[Base Price]]+Tabelle1[[#This Row],[Total Selling Costs
	]]+Tabelle1[[#This Row],[DHL Costs]]+Tabelle1[[#This Row],[Handling Costs]]+Tabelle1[[#This Row],[Fixed Costs]]</f>
        <v>23.0032</v>
      </c>
      <c r="J409" s="1">
        <f>Tabelle1[[#This Row],[Net Sales Price]]-Tabelle1[[#This Row],[Variable Costs]]</f>
        <v>8.4459525423728827</v>
      </c>
    </row>
    <row r="410" spans="1:10" ht="14.25" customHeight="1" x14ac:dyDescent="0.25">
      <c r="A410" s="8" t="s">
        <v>418</v>
      </c>
      <c r="B410" s="1">
        <v>15.18</v>
      </c>
      <c r="C410" s="1">
        <v>18.7</v>
      </c>
      <c r="D410" s="1">
        <f>Tabelle1[[#This Row],[Gross Sales Price]]/1.18</f>
        <v>15.847457627118644</v>
      </c>
      <c r="E410" s="1">
        <f>Tabelle1[[#This Row],[Gross Sales Price]]*0.12</f>
        <v>2.2439999999999998</v>
      </c>
      <c r="F410" s="1">
        <v>0.4</v>
      </c>
      <c r="G410" s="1">
        <v>3</v>
      </c>
      <c r="H410" s="1">
        <v>2</v>
      </c>
      <c r="I410" s="2">
        <f>Tabelle1[[#This Row],[Base Price]]+Tabelle1[[#This Row],[Total Selling Costs
	]]+Tabelle1[[#This Row],[DHL Costs]]+Tabelle1[[#This Row],[Handling Costs]]+Tabelle1[[#This Row],[Fixed Costs]]</f>
        <v>22.823999999999998</v>
      </c>
      <c r="J410" s="1">
        <f>Tabelle1[[#This Row],[Net Sales Price]]-Tabelle1[[#This Row],[Variable Costs]]</f>
        <v>-6.9765423728813545</v>
      </c>
    </row>
    <row r="411" spans="1:10" ht="14.25" customHeight="1" x14ac:dyDescent="0.25">
      <c r="A411" s="8" t="s">
        <v>419</v>
      </c>
      <c r="B411" s="1">
        <v>18.13</v>
      </c>
      <c r="C411" s="1">
        <v>16.420000000000002</v>
      </c>
      <c r="D411" s="1">
        <f>Tabelle1[[#This Row],[Gross Sales Price]]/1.18</f>
        <v>13.915254237288138</v>
      </c>
      <c r="E411" s="1">
        <f>Tabelle1[[#This Row],[Gross Sales Price]]*0.12</f>
        <v>1.9704000000000002</v>
      </c>
      <c r="F411" s="1">
        <v>0.4</v>
      </c>
      <c r="G411" s="1">
        <v>3</v>
      </c>
      <c r="H411" s="1">
        <v>2</v>
      </c>
      <c r="I411" s="2">
        <f>Tabelle1[[#This Row],[Base Price]]+Tabelle1[[#This Row],[Total Selling Costs
	]]+Tabelle1[[#This Row],[DHL Costs]]+Tabelle1[[#This Row],[Handling Costs]]+Tabelle1[[#This Row],[Fixed Costs]]</f>
        <v>25.500399999999999</v>
      </c>
      <c r="J411" s="1">
        <f>Tabelle1[[#This Row],[Net Sales Price]]-Tabelle1[[#This Row],[Variable Costs]]</f>
        <v>-11.585145762711861</v>
      </c>
    </row>
    <row r="412" spans="1:10" ht="14.25" customHeight="1" x14ac:dyDescent="0.25">
      <c r="A412" s="8" t="s">
        <v>420</v>
      </c>
      <c r="B412" s="1">
        <v>4.8</v>
      </c>
      <c r="C412" s="1">
        <v>8.6199999999999992</v>
      </c>
      <c r="D412" s="1">
        <f>Tabelle1[[#This Row],[Gross Sales Price]]/1.18</f>
        <v>7.3050847457627119</v>
      </c>
      <c r="E412" s="1">
        <f>Tabelle1[[#This Row],[Gross Sales Price]]*0.12</f>
        <v>1.0343999999999998</v>
      </c>
      <c r="F412" s="1">
        <v>0.4</v>
      </c>
      <c r="G412" s="1">
        <v>3</v>
      </c>
      <c r="H412" s="1">
        <v>2</v>
      </c>
      <c r="I412" s="2">
        <f>Tabelle1[[#This Row],[Base Price]]+Tabelle1[[#This Row],[Total Selling Costs
	]]+Tabelle1[[#This Row],[DHL Costs]]+Tabelle1[[#This Row],[Handling Costs]]+Tabelle1[[#This Row],[Fixed Costs]]</f>
        <v>11.234399999999999</v>
      </c>
      <c r="J412" s="1">
        <f>Tabelle1[[#This Row],[Net Sales Price]]-Tabelle1[[#This Row],[Variable Costs]]</f>
        <v>-3.9293152542372871</v>
      </c>
    </row>
    <row r="413" spans="1:10" ht="14.25" customHeight="1" x14ac:dyDescent="0.25">
      <c r="A413" s="8" t="s">
        <v>421</v>
      </c>
      <c r="B413" s="1">
        <v>16.77</v>
      </c>
      <c r="C413" s="1">
        <v>34.57</v>
      </c>
      <c r="D413" s="1">
        <f>Tabelle1[[#This Row],[Gross Sales Price]]/1.18</f>
        <v>29.296610169491526</v>
      </c>
      <c r="E413" s="1">
        <f>Tabelle1[[#This Row],[Gross Sales Price]]*0.12</f>
        <v>4.1483999999999996</v>
      </c>
      <c r="F413" s="1">
        <v>0.4</v>
      </c>
      <c r="G413" s="1">
        <v>3</v>
      </c>
      <c r="H413" s="1">
        <v>2</v>
      </c>
      <c r="I413" s="2">
        <f>Tabelle1[[#This Row],[Base Price]]+Tabelle1[[#This Row],[Total Selling Costs
	]]+Tabelle1[[#This Row],[DHL Costs]]+Tabelle1[[#This Row],[Handling Costs]]+Tabelle1[[#This Row],[Fixed Costs]]</f>
        <v>26.318399999999997</v>
      </c>
      <c r="J413" s="1">
        <f>Tabelle1[[#This Row],[Net Sales Price]]-Tabelle1[[#This Row],[Variable Costs]]</f>
        <v>2.9782101694915291</v>
      </c>
    </row>
    <row r="414" spans="1:10" ht="14.25" customHeight="1" x14ac:dyDescent="0.25">
      <c r="A414" s="8" t="s">
        <v>422</v>
      </c>
      <c r="B414" s="1">
        <v>15.01</v>
      </c>
      <c r="C414" s="1">
        <v>5.08</v>
      </c>
      <c r="D414" s="1">
        <f>Tabelle1[[#This Row],[Gross Sales Price]]/1.18</f>
        <v>4.3050847457627119</v>
      </c>
      <c r="E414" s="1">
        <f>Tabelle1[[#This Row],[Gross Sales Price]]*0.12</f>
        <v>0.60960000000000003</v>
      </c>
      <c r="F414" s="1">
        <v>0.4</v>
      </c>
      <c r="G414" s="1">
        <v>3</v>
      </c>
      <c r="H414" s="1">
        <v>2</v>
      </c>
      <c r="I414" s="2">
        <f>Tabelle1[[#This Row],[Base Price]]+Tabelle1[[#This Row],[Total Selling Costs
	]]+Tabelle1[[#This Row],[DHL Costs]]+Tabelle1[[#This Row],[Handling Costs]]+Tabelle1[[#This Row],[Fixed Costs]]</f>
        <v>21.019599999999997</v>
      </c>
      <c r="J414" s="1">
        <f>Tabelle1[[#This Row],[Net Sales Price]]-Tabelle1[[#This Row],[Variable Costs]]</f>
        <v>-16.714515254237284</v>
      </c>
    </row>
    <row r="415" spans="1:10" ht="14.25" customHeight="1" x14ac:dyDescent="0.25">
      <c r="A415" s="8" t="s">
        <v>423</v>
      </c>
      <c r="B415" s="1">
        <v>14.58</v>
      </c>
      <c r="C415" s="1">
        <v>31.93</v>
      </c>
      <c r="D415" s="1">
        <f>Tabelle1[[#This Row],[Gross Sales Price]]/1.18</f>
        <v>27.059322033898308</v>
      </c>
      <c r="E415" s="1">
        <f>Tabelle1[[#This Row],[Gross Sales Price]]*0.12</f>
        <v>3.8315999999999999</v>
      </c>
      <c r="F415" s="1">
        <v>0.4</v>
      </c>
      <c r="G415" s="1">
        <v>3</v>
      </c>
      <c r="H415" s="1">
        <v>2</v>
      </c>
      <c r="I415" s="2">
        <f>Tabelle1[[#This Row],[Base Price]]+Tabelle1[[#This Row],[Total Selling Costs
	]]+Tabelle1[[#This Row],[DHL Costs]]+Tabelle1[[#This Row],[Handling Costs]]+Tabelle1[[#This Row],[Fixed Costs]]</f>
        <v>23.811599999999999</v>
      </c>
      <c r="J415" s="1">
        <f>Tabelle1[[#This Row],[Net Sales Price]]-Tabelle1[[#This Row],[Variable Costs]]</f>
        <v>3.2477220338983095</v>
      </c>
    </row>
    <row r="416" spans="1:10" ht="14.25" customHeight="1" x14ac:dyDescent="0.25">
      <c r="A416" s="8" t="s">
        <v>424</v>
      </c>
      <c r="B416" s="1">
        <v>4.7699999999999996</v>
      </c>
      <c r="C416" s="1">
        <v>22.45</v>
      </c>
      <c r="D416" s="1">
        <f>Tabelle1[[#This Row],[Gross Sales Price]]/1.18</f>
        <v>19.025423728813561</v>
      </c>
      <c r="E416" s="1">
        <f>Tabelle1[[#This Row],[Gross Sales Price]]*0.12</f>
        <v>2.694</v>
      </c>
      <c r="F416" s="1">
        <v>0.4</v>
      </c>
      <c r="G416" s="1">
        <v>3</v>
      </c>
      <c r="H416" s="1">
        <v>2</v>
      </c>
      <c r="I416" s="2">
        <f>Tabelle1[[#This Row],[Base Price]]+Tabelle1[[#This Row],[Total Selling Costs
	]]+Tabelle1[[#This Row],[DHL Costs]]+Tabelle1[[#This Row],[Handling Costs]]+Tabelle1[[#This Row],[Fixed Costs]]</f>
        <v>12.863999999999999</v>
      </c>
      <c r="J416" s="1">
        <f>Tabelle1[[#This Row],[Net Sales Price]]-Tabelle1[[#This Row],[Variable Costs]]</f>
        <v>6.1614237288135616</v>
      </c>
    </row>
    <row r="417" spans="1:10" ht="14.25" customHeight="1" x14ac:dyDescent="0.25">
      <c r="A417" s="8" t="s">
        <v>425</v>
      </c>
      <c r="B417" s="1">
        <v>1.63</v>
      </c>
      <c r="C417" s="1">
        <v>27.59</v>
      </c>
      <c r="D417" s="1">
        <f>Tabelle1[[#This Row],[Gross Sales Price]]/1.18</f>
        <v>23.381355932203391</v>
      </c>
      <c r="E417" s="1">
        <f>Tabelle1[[#This Row],[Gross Sales Price]]*0.12</f>
        <v>3.3108</v>
      </c>
      <c r="F417" s="1">
        <v>0.4</v>
      </c>
      <c r="G417" s="1">
        <v>3</v>
      </c>
      <c r="H417" s="1">
        <v>2</v>
      </c>
      <c r="I417" s="2">
        <f>Tabelle1[[#This Row],[Base Price]]+Tabelle1[[#This Row],[Total Selling Costs
	]]+Tabelle1[[#This Row],[DHL Costs]]+Tabelle1[[#This Row],[Handling Costs]]+Tabelle1[[#This Row],[Fixed Costs]]</f>
        <v>10.3408</v>
      </c>
      <c r="J417" s="1">
        <f>Tabelle1[[#This Row],[Net Sales Price]]-Tabelle1[[#This Row],[Variable Costs]]</f>
        <v>13.040555932203391</v>
      </c>
    </row>
    <row r="418" spans="1:10" ht="14.25" customHeight="1" x14ac:dyDescent="0.25">
      <c r="A418" s="8" t="s">
        <v>426</v>
      </c>
      <c r="B418" s="1">
        <v>11.79</v>
      </c>
      <c r="C418" s="1">
        <v>8.42</v>
      </c>
      <c r="D418" s="1">
        <f>Tabelle1[[#This Row],[Gross Sales Price]]/1.18</f>
        <v>7.1355932203389836</v>
      </c>
      <c r="E418" s="1">
        <f>Tabelle1[[#This Row],[Gross Sales Price]]*0.12</f>
        <v>1.0104</v>
      </c>
      <c r="F418" s="1">
        <v>0.4</v>
      </c>
      <c r="G418" s="1">
        <v>3</v>
      </c>
      <c r="H418" s="1">
        <v>2</v>
      </c>
      <c r="I418" s="2">
        <f>Tabelle1[[#This Row],[Base Price]]+Tabelle1[[#This Row],[Total Selling Costs
	]]+Tabelle1[[#This Row],[DHL Costs]]+Tabelle1[[#This Row],[Handling Costs]]+Tabelle1[[#This Row],[Fixed Costs]]</f>
        <v>18.200399999999998</v>
      </c>
      <c r="J418" s="1">
        <f>Tabelle1[[#This Row],[Net Sales Price]]-Tabelle1[[#This Row],[Variable Costs]]</f>
        <v>-11.064806779661016</v>
      </c>
    </row>
    <row r="419" spans="1:10" ht="14.25" customHeight="1" x14ac:dyDescent="0.25">
      <c r="A419" s="8" t="s">
        <v>427</v>
      </c>
      <c r="B419" s="1">
        <v>12.67</v>
      </c>
      <c r="C419" s="1">
        <v>32.130000000000003</v>
      </c>
      <c r="D419" s="1">
        <f>Tabelle1[[#This Row],[Gross Sales Price]]/1.18</f>
        <v>27.228813559322038</v>
      </c>
      <c r="E419" s="1">
        <f>Tabelle1[[#This Row],[Gross Sales Price]]*0.12</f>
        <v>3.8556000000000004</v>
      </c>
      <c r="F419" s="1">
        <v>0.4</v>
      </c>
      <c r="G419" s="1">
        <v>3</v>
      </c>
      <c r="H419" s="1">
        <v>2</v>
      </c>
      <c r="I419" s="2">
        <f>Tabelle1[[#This Row],[Base Price]]+Tabelle1[[#This Row],[Total Selling Costs
	]]+Tabelle1[[#This Row],[DHL Costs]]+Tabelle1[[#This Row],[Handling Costs]]+Tabelle1[[#This Row],[Fixed Costs]]</f>
        <v>21.925599999999999</v>
      </c>
      <c r="J419" s="1">
        <f>Tabelle1[[#This Row],[Net Sales Price]]-Tabelle1[[#This Row],[Variable Costs]]</f>
        <v>5.3032135593220389</v>
      </c>
    </row>
    <row r="420" spans="1:10" ht="14.25" customHeight="1" x14ac:dyDescent="0.25">
      <c r="A420" s="8" t="s">
        <v>428</v>
      </c>
      <c r="B420" s="1">
        <v>16.72</v>
      </c>
      <c r="C420" s="1">
        <v>14.37</v>
      </c>
      <c r="D420" s="1">
        <f>Tabelle1[[#This Row],[Gross Sales Price]]/1.18</f>
        <v>12.177966101694915</v>
      </c>
      <c r="E420" s="1">
        <f>Tabelle1[[#This Row],[Gross Sales Price]]*0.12</f>
        <v>1.7243999999999999</v>
      </c>
      <c r="F420" s="1">
        <v>0.4</v>
      </c>
      <c r="G420" s="1">
        <v>3</v>
      </c>
      <c r="H420" s="1">
        <v>2</v>
      </c>
      <c r="I420" s="2">
        <f>Tabelle1[[#This Row],[Base Price]]+Tabelle1[[#This Row],[Total Selling Costs
	]]+Tabelle1[[#This Row],[DHL Costs]]+Tabelle1[[#This Row],[Handling Costs]]+Tabelle1[[#This Row],[Fixed Costs]]</f>
        <v>23.844399999999997</v>
      </c>
      <c r="J420" s="1">
        <f>Tabelle1[[#This Row],[Net Sales Price]]-Tabelle1[[#This Row],[Variable Costs]]</f>
        <v>-11.666433898305081</v>
      </c>
    </row>
    <row r="421" spans="1:10" ht="14.25" customHeight="1" x14ac:dyDescent="0.25">
      <c r="A421" s="8" t="s">
        <v>429</v>
      </c>
      <c r="B421" s="1">
        <v>18.02</v>
      </c>
      <c r="C421" s="1">
        <v>2.04</v>
      </c>
      <c r="D421" s="1">
        <f>Tabelle1[[#This Row],[Gross Sales Price]]/1.18</f>
        <v>1.728813559322034</v>
      </c>
      <c r="E421" s="1">
        <f>Tabelle1[[#This Row],[Gross Sales Price]]*0.12</f>
        <v>0.24479999999999999</v>
      </c>
      <c r="F421" s="1">
        <v>0.4</v>
      </c>
      <c r="G421" s="1">
        <v>3</v>
      </c>
      <c r="H421" s="1">
        <v>2</v>
      </c>
      <c r="I421" s="2">
        <f>Tabelle1[[#This Row],[Base Price]]+Tabelle1[[#This Row],[Total Selling Costs
	]]+Tabelle1[[#This Row],[DHL Costs]]+Tabelle1[[#This Row],[Handling Costs]]+Tabelle1[[#This Row],[Fixed Costs]]</f>
        <v>23.6648</v>
      </c>
      <c r="J421" s="1">
        <f>Tabelle1[[#This Row],[Net Sales Price]]-Tabelle1[[#This Row],[Variable Costs]]</f>
        <v>-21.935986440677965</v>
      </c>
    </row>
    <row r="422" spans="1:10" ht="14.25" customHeight="1" x14ac:dyDescent="0.25">
      <c r="A422" s="8" t="s">
        <v>430</v>
      </c>
      <c r="B422" s="1">
        <v>12.34</v>
      </c>
      <c r="C422" s="1">
        <v>9.94</v>
      </c>
      <c r="D422" s="1">
        <f>Tabelle1[[#This Row],[Gross Sales Price]]/1.18</f>
        <v>8.4237288135593218</v>
      </c>
      <c r="E422" s="1">
        <f>Tabelle1[[#This Row],[Gross Sales Price]]*0.12</f>
        <v>1.1927999999999999</v>
      </c>
      <c r="F422" s="1">
        <v>0.4</v>
      </c>
      <c r="G422" s="1">
        <v>3</v>
      </c>
      <c r="H422" s="1">
        <v>2</v>
      </c>
      <c r="I422" s="2">
        <f>Tabelle1[[#This Row],[Base Price]]+Tabelle1[[#This Row],[Total Selling Costs
	]]+Tabelle1[[#This Row],[DHL Costs]]+Tabelle1[[#This Row],[Handling Costs]]+Tabelle1[[#This Row],[Fixed Costs]]</f>
        <v>18.9328</v>
      </c>
      <c r="J422" s="1">
        <f>Tabelle1[[#This Row],[Net Sales Price]]-Tabelle1[[#This Row],[Variable Costs]]</f>
        <v>-10.509071186440679</v>
      </c>
    </row>
    <row r="423" spans="1:10" ht="14.25" customHeight="1" x14ac:dyDescent="0.25">
      <c r="A423" s="8" t="s">
        <v>431</v>
      </c>
      <c r="B423" s="1">
        <v>15.35</v>
      </c>
      <c r="C423" s="1">
        <v>38.64</v>
      </c>
      <c r="D423" s="1">
        <f>Tabelle1[[#This Row],[Gross Sales Price]]/1.18</f>
        <v>32.745762711864408</v>
      </c>
      <c r="E423" s="1">
        <f>Tabelle1[[#This Row],[Gross Sales Price]]*0.12</f>
        <v>4.6368</v>
      </c>
      <c r="F423" s="1">
        <v>0.4</v>
      </c>
      <c r="G423" s="1">
        <v>3</v>
      </c>
      <c r="H423" s="1">
        <v>2</v>
      </c>
      <c r="I423" s="2">
        <f>Tabelle1[[#This Row],[Base Price]]+Tabelle1[[#This Row],[Total Selling Costs
	]]+Tabelle1[[#This Row],[DHL Costs]]+Tabelle1[[#This Row],[Handling Costs]]+Tabelle1[[#This Row],[Fixed Costs]]</f>
        <v>25.386799999999997</v>
      </c>
      <c r="J423" s="1">
        <f>Tabelle1[[#This Row],[Net Sales Price]]-Tabelle1[[#This Row],[Variable Costs]]</f>
        <v>7.358962711864411</v>
      </c>
    </row>
    <row r="424" spans="1:10" ht="14.25" customHeight="1" x14ac:dyDescent="0.25">
      <c r="A424" s="8" t="s">
        <v>432</v>
      </c>
      <c r="B424" s="1">
        <v>11.05</v>
      </c>
      <c r="C424" s="1">
        <v>21.8</v>
      </c>
      <c r="D424" s="1">
        <f>Tabelle1[[#This Row],[Gross Sales Price]]/1.18</f>
        <v>18.474576271186443</v>
      </c>
      <c r="E424" s="1">
        <f>Tabelle1[[#This Row],[Gross Sales Price]]*0.12</f>
        <v>2.6160000000000001</v>
      </c>
      <c r="F424" s="1">
        <v>0.4</v>
      </c>
      <c r="G424" s="1">
        <v>3</v>
      </c>
      <c r="H424" s="1">
        <v>2</v>
      </c>
      <c r="I424" s="2">
        <f>Tabelle1[[#This Row],[Base Price]]+Tabelle1[[#This Row],[Total Selling Costs
	]]+Tabelle1[[#This Row],[DHL Costs]]+Tabelle1[[#This Row],[Handling Costs]]+Tabelle1[[#This Row],[Fixed Costs]]</f>
        <v>19.065999999999999</v>
      </c>
      <c r="J424" s="1">
        <f>Tabelle1[[#This Row],[Net Sales Price]]-Tabelle1[[#This Row],[Variable Costs]]</f>
        <v>-0.59142372881355598</v>
      </c>
    </row>
    <row r="425" spans="1:10" ht="14.25" customHeight="1" x14ac:dyDescent="0.25">
      <c r="A425" s="8" t="s">
        <v>433</v>
      </c>
      <c r="B425" s="1">
        <v>2.96</v>
      </c>
      <c r="C425" s="1">
        <v>39.26</v>
      </c>
      <c r="D425" s="1">
        <f>Tabelle1[[#This Row],[Gross Sales Price]]/1.18</f>
        <v>33.271186440677965</v>
      </c>
      <c r="E425" s="1">
        <f>Tabelle1[[#This Row],[Gross Sales Price]]*0.12</f>
        <v>4.7111999999999998</v>
      </c>
      <c r="F425" s="1">
        <v>0.4</v>
      </c>
      <c r="G425" s="1">
        <v>3</v>
      </c>
      <c r="H425" s="1">
        <v>2</v>
      </c>
      <c r="I425" s="2">
        <f>Tabelle1[[#This Row],[Base Price]]+Tabelle1[[#This Row],[Total Selling Costs
	]]+Tabelle1[[#This Row],[DHL Costs]]+Tabelle1[[#This Row],[Handling Costs]]+Tabelle1[[#This Row],[Fixed Costs]]</f>
        <v>13.071199999999999</v>
      </c>
      <c r="J425" s="1">
        <f>Tabelle1[[#This Row],[Net Sales Price]]-Tabelle1[[#This Row],[Variable Costs]]</f>
        <v>20.199986440677968</v>
      </c>
    </row>
    <row r="426" spans="1:10" ht="14.25" customHeight="1" x14ac:dyDescent="0.25">
      <c r="A426" s="8" t="s">
        <v>434</v>
      </c>
      <c r="B426" s="1">
        <v>14.38</v>
      </c>
      <c r="C426" s="1">
        <v>12.42</v>
      </c>
      <c r="D426" s="1">
        <f>Tabelle1[[#This Row],[Gross Sales Price]]/1.18</f>
        <v>10.525423728813561</v>
      </c>
      <c r="E426" s="1">
        <f>Tabelle1[[#This Row],[Gross Sales Price]]*0.12</f>
        <v>1.4903999999999999</v>
      </c>
      <c r="F426" s="1">
        <v>0.4</v>
      </c>
      <c r="G426" s="1">
        <v>3</v>
      </c>
      <c r="H426" s="1">
        <v>2</v>
      </c>
      <c r="I426" s="2">
        <f>Tabelle1[[#This Row],[Base Price]]+Tabelle1[[#This Row],[Total Selling Costs
	]]+Tabelle1[[#This Row],[DHL Costs]]+Tabelle1[[#This Row],[Handling Costs]]+Tabelle1[[#This Row],[Fixed Costs]]</f>
        <v>21.270399999999999</v>
      </c>
      <c r="J426" s="1">
        <f>Tabelle1[[#This Row],[Net Sales Price]]-Tabelle1[[#This Row],[Variable Costs]]</f>
        <v>-10.744976271186438</v>
      </c>
    </row>
    <row r="427" spans="1:10" ht="14.25" customHeight="1" x14ac:dyDescent="0.25">
      <c r="A427" s="8" t="s">
        <v>435</v>
      </c>
      <c r="B427" s="1">
        <v>5.8</v>
      </c>
      <c r="C427" s="1">
        <v>13.03</v>
      </c>
      <c r="D427" s="1">
        <f>Tabelle1[[#This Row],[Gross Sales Price]]/1.18</f>
        <v>11.042372881355933</v>
      </c>
      <c r="E427" s="1">
        <f>Tabelle1[[#This Row],[Gross Sales Price]]*0.12</f>
        <v>1.5635999999999999</v>
      </c>
      <c r="F427" s="1">
        <v>0.4</v>
      </c>
      <c r="G427" s="1">
        <v>3</v>
      </c>
      <c r="H427" s="1">
        <v>2</v>
      </c>
      <c r="I427" s="2">
        <f>Tabelle1[[#This Row],[Base Price]]+Tabelle1[[#This Row],[Total Selling Costs
	]]+Tabelle1[[#This Row],[DHL Costs]]+Tabelle1[[#This Row],[Handling Costs]]+Tabelle1[[#This Row],[Fixed Costs]]</f>
        <v>12.7636</v>
      </c>
      <c r="J427" s="1">
        <f>Tabelle1[[#This Row],[Net Sales Price]]-Tabelle1[[#This Row],[Variable Costs]]</f>
        <v>-1.7212271186440677</v>
      </c>
    </row>
    <row r="428" spans="1:10" ht="14.25" customHeight="1" x14ac:dyDescent="0.25">
      <c r="A428" s="8" t="s">
        <v>436</v>
      </c>
      <c r="B428" s="1">
        <v>4.75</v>
      </c>
      <c r="C428" s="1">
        <v>10.38</v>
      </c>
      <c r="D428" s="1">
        <f>Tabelle1[[#This Row],[Gross Sales Price]]/1.18</f>
        <v>8.796610169491526</v>
      </c>
      <c r="E428" s="1">
        <f>Tabelle1[[#This Row],[Gross Sales Price]]*0.12</f>
        <v>1.2456</v>
      </c>
      <c r="F428" s="1">
        <v>0.4</v>
      </c>
      <c r="G428" s="1">
        <v>3</v>
      </c>
      <c r="H428" s="1">
        <v>2</v>
      </c>
      <c r="I428" s="2">
        <f>Tabelle1[[#This Row],[Base Price]]+Tabelle1[[#This Row],[Total Selling Costs
	]]+Tabelle1[[#This Row],[DHL Costs]]+Tabelle1[[#This Row],[Handling Costs]]+Tabelle1[[#This Row],[Fixed Costs]]</f>
        <v>11.3956</v>
      </c>
      <c r="J428" s="1">
        <f>Tabelle1[[#This Row],[Net Sales Price]]-Tabelle1[[#This Row],[Variable Costs]]</f>
        <v>-2.598989830508474</v>
      </c>
    </row>
    <row r="429" spans="1:10" ht="14.25" customHeight="1" x14ac:dyDescent="0.25">
      <c r="A429" s="8" t="s">
        <v>437</v>
      </c>
      <c r="B429" s="1">
        <v>12.26</v>
      </c>
      <c r="C429" s="1">
        <v>17.739999999999998</v>
      </c>
      <c r="D429" s="1">
        <f>Tabelle1[[#This Row],[Gross Sales Price]]/1.18</f>
        <v>15.033898305084746</v>
      </c>
      <c r="E429" s="1">
        <f>Tabelle1[[#This Row],[Gross Sales Price]]*0.12</f>
        <v>2.1287999999999996</v>
      </c>
      <c r="F429" s="1">
        <v>0.4</v>
      </c>
      <c r="G429" s="1">
        <v>3</v>
      </c>
      <c r="H429" s="1">
        <v>2</v>
      </c>
      <c r="I429" s="2">
        <f>Tabelle1[[#This Row],[Base Price]]+Tabelle1[[#This Row],[Total Selling Costs
	]]+Tabelle1[[#This Row],[DHL Costs]]+Tabelle1[[#This Row],[Handling Costs]]+Tabelle1[[#This Row],[Fixed Costs]]</f>
        <v>19.788799999999998</v>
      </c>
      <c r="J429" s="1">
        <f>Tabelle1[[#This Row],[Net Sales Price]]-Tabelle1[[#This Row],[Variable Costs]]</f>
        <v>-4.7549016949152527</v>
      </c>
    </row>
    <row r="430" spans="1:10" ht="14.25" customHeight="1" x14ac:dyDescent="0.25">
      <c r="A430" s="8" t="s">
        <v>438</v>
      </c>
      <c r="B430" s="1">
        <v>9.83</v>
      </c>
      <c r="C430" s="1">
        <v>10.57</v>
      </c>
      <c r="D430" s="1">
        <f>Tabelle1[[#This Row],[Gross Sales Price]]/1.18</f>
        <v>8.9576271186440692</v>
      </c>
      <c r="E430" s="1">
        <f>Tabelle1[[#This Row],[Gross Sales Price]]*0.12</f>
        <v>1.2684</v>
      </c>
      <c r="F430" s="1">
        <v>0.4</v>
      </c>
      <c r="G430" s="1">
        <v>3</v>
      </c>
      <c r="H430" s="1">
        <v>2</v>
      </c>
      <c r="I430" s="2">
        <f>Tabelle1[[#This Row],[Base Price]]+Tabelle1[[#This Row],[Total Selling Costs
	]]+Tabelle1[[#This Row],[DHL Costs]]+Tabelle1[[#This Row],[Handling Costs]]+Tabelle1[[#This Row],[Fixed Costs]]</f>
        <v>16.498399999999997</v>
      </c>
      <c r="J430" s="1">
        <f>Tabelle1[[#This Row],[Net Sales Price]]-Tabelle1[[#This Row],[Variable Costs]]</f>
        <v>-7.5407728813559274</v>
      </c>
    </row>
    <row r="431" spans="1:10" ht="14.25" customHeight="1" x14ac:dyDescent="0.25">
      <c r="A431" s="8" t="s">
        <v>439</v>
      </c>
      <c r="B431" s="1">
        <v>14.22</v>
      </c>
      <c r="C431" s="1">
        <v>12.84</v>
      </c>
      <c r="D431" s="1">
        <f>Tabelle1[[#This Row],[Gross Sales Price]]/1.18</f>
        <v>10.881355932203391</v>
      </c>
      <c r="E431" s="1">
        <f>Tabelle1[[#This Row],[Gross Sales Price]]*0.12</f>
        <v>1.5407999999999999</v>
      </c>
      <c r="F431" s="1">
        <v>0.4</v>
      </c>
      <c r="G431" s="1">
        <v>3</v>
      </c>
      <c r="H431" s="1">
        <v>2</v>
      </c>
      <c r="I431" s="2">
        <f>Tabelle1[[#This Row],[Base Price]]+Tabelle1[[#This Row],[Total Selling Costs
	]]+Tabelle1[[#This Row],[DHL Costs]]+Tabelle1[[#This Row],[Handling Costs]]+Tabelle1[[#This Row],[Fixed Costs]]</f>
        <v>21.160799999999998</v>
      </c>
      <c r="J431" s="1">
        <f>Tabelle1[[#This Row],[Net Sales Price]]-Tabelle1[[#This Row],[Variable Costs]]</f>
        <v>-10.279444067796607</v>
      </c>
    </row>
    <row r="432" spans="1:10" ht="14.25" customHeight="1" x14ac:dyDescent="0.25">
      <c r="A432" s="8" t="s">
        <v>440</v>
      </c>
      <c r="B432" s="1">
        <v>6.68</v>
      </c>
      <c r="C432" s="1">
        <v>13.57</v>
      </c>
      <c r="D432" s="1">
        <f>Tabelle1[[#This Row],[Gross Sales Price]]/1.18</f>
        <v>11.5</v>
      </c>
      <c r="E432" s="1">
        <f>Tabelle1[[#This Row],[Gross Sales Price]]*0.12</f>
        <v>1.6284000000000001</v>
      </c>
      <c r="F432" s="1">
        <v>0.4</v>
      </c>
      <c r="G432" s="1">
        <v>3</v>
      </c>
      <c r="H432" s="1">
        <v>2</v>
      </c>
      <c r="I432" s="2">
        <f>Tabelle1[[#This Row],[Base Price]]+Tabelle1[[#This Row],[Total Selling Costs
	]]+Tabelle1[[#This Row],[DHL Costs]]+Tabelle1[[#This Row],[Handling Costs]]+Tabelle1[[#This Row],[Fixed Costs]]</f>
        <v>13.708399999999999</v>
      </c>
      <c r="J432" s="1">
        <f>Tabelle1[[#This Row],[Net Sales Price]]-Tabelle1[[#This Row],[Variable Costs]]</f>
        <v>-2.2083999999999993</v>
      </c>
    </row>
    <row r="433" spans="1:10" ht="14.25" customHeight="1" x14ac:dyDescent="0.25">
      <c r="A433" s="8" t="s">
        <v>441</v>
      </c>
      <c r="B433" s="1">
        <v>9.7200000000000006</v>
      </c>
      <c r="C433" s="1">
        <v>28.45</v>
      </c>
      <c r="D433" s="1">
        <f>Tabelle1[[#This Row],[Gross Sales Price]]/1.18</f>
        <v>24.110169491525426</v>
      </c>
      <c r="E433" s="1">
        <f>Tabelle1[[#This Row],[Gross Sales Price]]*0.12</f>
        <v>3.4139999999999997</v>
      </c>
      <c r="F433" s="1">
        <v>0.4</v>
      </c>
      <c r="G433" s="1">
        <v>3</v>
      </c>
      <c r="H433" s="1">
        <v>2</v>
      </c>
      <c r="I433" s="2">
        <f>Tabelle1[[#This Row],[Base Price]]+Tabelle1[[#This Row],[Total Selling Costs
	]]+Tabelle1[[#This Row],[DHL Costs]]+Tabelle1[[#This Row],[Handling Costs]]+Tabelle1[[#This Row],[Fixed Costs]]</f>
        <v>18.533999999999999</v>
      </c>
      <c r="J433" s="1">
        <f>Tabelle1[[#This Row],[Net Sales Price]]-Tabelle1[[#This Row],[Variable Costs]]</f>
        <v>5.5761694915254267</v>
      </c>
    </row>
    <row r="434" spans="1:10" ht="14.25" customHeight="1" x14ac:dyDescent="0.25">
      <c r="A434" s="8" t="s">
        <v>442</v>
      </c>
      <c r="B434" s="1">
        <v>9.8699999999999992</v>
      </c>
      <c r="C434" s="1">
        <v>31.44</v>
      </c>
      <c r="D434" s="1">
        <f>Tabelle1[[#This Row],[Gross Sales Price]]/1.18</f>
        <v>26.644067796610173</v>
      </c>
      <c r="E434" s="1">
        <f>Tabelle1[[#This Row],[Gross Sales Price]]*0.12</f>
        <v>3.7728000000000002</v>
      </c>
      <c r="F434" s="1">
        <v>0.4</v>
      </c>
      <c r="G434" s="1">
        <v>3</v>
      </c>
      <c r="H434" s="1">
        <v>2</v>
      </c>
      <c r="I434" s="2">
        <f>Tabelle1[[#This Row],[Base Price]]+Tabelle1[[#This Row],[Total Selling Costs
	]]+Tabelle1[[#This Row],[DHL Costs]]+Tabelle1[[#This Row],[Handling Costs]]+Tabelle1[[#This Row],[Fixed Costs]]</f>
        <v>19.0428</v>
      </c>
      <c r="J434" s="1">
        <f>Tabelle1[[#This Row],[Net Sales Price]]-Tabelle1[[#This Row],[Variable Costs]]</f>
        <v>7.6012677966101734</v>
      </c>
    </row>
    <row r="435" spans="1:10" ht="14.25" customHeight="1" x14ac:dyDescent="0.25">
      <c r="A435" s="8" t="s">
        <v>443</v>
      </c>
      <c r="B435" s="1">
        <v>2.41</v>
      </c>
      <c r="C435" s="1">
        <v>22.7</v>
      </c>
      <c r="D435" s="1">
        <f>Tabelle1[[#This Row],[Gross Sales Price]]/1.18</f>
        <v>19.237288135593221</v>
      </c>
      <c r="E435" s="1">
        <f>Tabelle1[[#This Row],[Gross Sales Price]]*0.12</f>
        <v>2.7239999999999998</v>
      </c>
      <c r="F435" s="1">
        <v>0.4</v>
      </c>
      <c r="G435" s="1">
        <v>3</v>
      </c>
      <c r="H435" s="1">
        <v>2</v>
      </c>
      <c r="I435" s="2">
        <f>Tabelle1[[#This Row],[Base Price]]+Tabelle1[[#This Row],[Total Selling Costs
	]]+Tabelle1[[#This Row],[DHL Costs]]+Tabelle1[[#This Row],[Handling Costs]]+Tabelle1[[#This Row],[Fixed Costs]]</f>
        <v>10.534000000000001</v>
      </c>
      <c r="J435" s="1">
        <f>Tabelle1[[#This Row],[Net Sales Price]]-Tabelle1[[#This Row],[Variable Costs]]</f>
        <v>8.7032881355932208</v>
      </c>
    </row>
    <row r="436" spans="1:10" ht="14.25" customHeight="1" x14ac:dyDescent="0.25">
      <c r="A436" s="8" t="s">
        <v>444</v>
      </c>
      <c r="B436" s="1">
        <v>12.56</v>
      </c>
      <c r="C436" s="1">
        <v>11.14</v>
      </c>
      <c r="D436" s="1">
        <f>Tabelle1[[#This Row],[Gross Sales Price]]/1.18</f>
        <v>9.4406779661016955</v>
      </c>
      <c r="E436" s="1">
        <f>Tabelle1[[#This Row],[Gross Sales Price]]*0.12</f>
        <v>1.3368</v>
      </c>
      <c r="F436" s="1">
        <v>0.4</v>
      </c>
      <c r="G436" s="1">
        <v>3</v>
      </c>
      <c r="H436" s="1">
        <v>2</v>
      </c>
      <c r="I436" s="2">
        <f>Tabelle1[[#This Row],[Base Price]]+Tabelle1[[#This Row],[Total Selling Costs
	]]+Tabelle1[[#This Row],[DHL Costs]]+Tabelle1[[#This Row],[Handling Costs]]+Tabelle1[[#This Row],[Fixed Costs]]</f>
        <v>19.296799999999998</v>
      </c>
      <c r="J436" s="1">
        <f>Tabelle1[[#This Row],[Net Sales Price]]-Tabelle1[[#This Row],[Variable Costs]]</f>
        <v>-9.856122033898302</v>
      </c>
    </row>
    <row r="437" spans="1:10" ht="14.25" customHeight="1" x14ac:dyDescent="0.25">
      <c r="A437" s="8" t="s">
        <v>445</v>
      </c>
      <c r="B437" s="1">
        <v>10.64</v>
      </c>
      <c r="C437" s="1">
        <v>15.84</v>
      </c>
      <c r="D437" s="1">
        <f>Tabelle1[[#This Row],[Gross Sales Price]]/1.18</f>
        <v>13.423728813559322</v>
      </c>
      <c r="E437" s="1">
        <f>Tabelle1[[#This Row],[Gross Sales Price]]*0.12</f>
        <v>1.9007999999999998</v>
      </c>
      <c r="F437" s="1">
        <v>0.4</v>
      </c>
      <c r="G437" s="1">
        <v>3</v>
      </c>
      <c r="H437" s="1">
        <v>2</v>
      </c>
      <c r="I437" s="2">
        <f>Tabelle1[[#This Row],[Base Price]]+Tabelle1[[#This Row],[Total Selling Costs
	]]+Tabelle1[[#This Row],[DHL Costs]]+Tabelle1[[#This Row],[Handling Costs]]+Tabelle1[[#This Row],[Fixed Costs]]</f>
        <v>17.940799999999999</v>
      </c>
      <c r="J437" s="1">
        <f>Tabelle1[[#This Row],[Net Sales Price]]-Tabelle1[[#This Row],[Variable Costs]]</f>
        <v>-4.5170711864406776</v>
      </c>
    </row>
    <row r="438" spans="1:10" ht="14.25" customHeight="1" x14ac:dyDescent="0.25">
      <c r="A438" s="8" t="s">
        <v>446</v>
      </c>
      <c r="B438" s="1">
        <v>10.19</v>
      </c>
      <c r="C438" s="1">
        <v>9.61</v>
      </c>
      <c r="D438" s="1">
        <f>Tabelle1[[#This Row],[Gross Sales Price]]/1.18</f>
        <v>8.1440677966101696</v>
      </c>
      <c r="E438" s="1">
        <f>Tabelle1[[#This Row],[Gross Sales Price]]*0.12</f>
        <v>1.1531999999999998</v>
      </c>
      <c r="F438" s="1">
        <v>0.4</v>
      </c>
      <c r="G438" s="1">
        <v>3</v>
      </c>
      <c r="H438" s="1">
        <v>2</v>
      </c>
      <c r="I438" s="2">
        <f>Tabelle1[[#This Row],[Base Price]]+Tabelle1[[#This Row],[Total Selling Costs
	]]+Tabelle1[[#This Row],[DHL Costs]]+Tabelle1[[#This Row],[Handling Costs]]+Tabelle1[[#This Row],[Fixed Costs]]</f>
        <v>16.743199999999998</v>
      </c>
      <c r="J438" s="1">
        <f>Tabelle1[[#This Row],[Net Sales Price]]-Tabelle1[[#This Row],[Variable Costs]]</f>
        <v>-8.5991322033898285</v>
      </c>
    </row>
    <row r="439" spans="1:10" ht="14.25" customHeight="1" x14ac:dyDescent="0.25">
      <c r="A439" s="8" t="s">
        <v>447</v>
      </c>
      <c r="B439" s="1">
        <v>10.130000000000001</v>
      </c>
      <c r="C439" s="1">
        <v>3.28</v>
      </c>
      <c r="D439" s="1">
        <f>Tabelle1[[#This Row],[Gross Sales Price]]/1.18</f>
        <v>2.7796610169491527</v>
      </c>
      <c r="E439" s="1">
        <f>Tabelle1[[#This Row],[Gross Sales Price]]*0.12</f>
        <v>0.39359999999999995</v>
      </c>
      <c r="F439" s="1">
        <v>0.4</v>
      </c>
      <c r="G439" s="1">
        <v>3</v>
      </c>
      <c r="H439" s="1">
        <v>2</v>
      </c>
      <c r="I439" s="2">
        <f>Tabelle1[[#This Row],[Base Price]]+Tabelle1[[#This Row],[Total Selling Costs
	]]+Tabelle1[[#This Row],[DHL Costs]]+Tabelle1[[#This Row],[Handling Costs]]+Tabelle1[[#This Row],[Fixed Costs]]</f>
        <v>15.9236</v>
      </c>
      <c r="J439" s="1">
        <f>Tabelle1[[#This Row],[Net Sales Price]]-Tabelle1[[#This Row],[Variable Costs]]</f>
        <v>-13.143938983050848</v>
      </c>
    </row>
    <row r="440" spans="1:10" ht="14.25" customHeight="1" x14ac:dyDescent="0.25">
      <c r="A440" s="8" t="s">
        <v>448</v>
      </c>
      <c r="B440" s="1">
        <v>6.48</v>
      </c>
      <c r="C440" s="1">
        <v>27.85</v>
      </c>
      <c r="D440" s="1">
        <f>Tabelle1[[#This Row],[Gross Sales Price]]/1.18</f>
        <v>23.601694915254239</v>
      </c>
      <c r="E440" s="1">
        <f>Tabelle1[[#This Row],[Gross Sales Price]]*0.12</f>
        <v>3.3420000000000001</v>
      </c>
      <c r="F440" s="1">
        <v>0.4</v>
      </c>
      <c r="G440" s="1">
        <v>3</v>
      </c>
      <c r="H440" s="1">
        <v>2</v>
      </c>
      <c r="I440" s="2">
        <f>Tabelle1[[#This Row],[Base Price]]+Tabelle1[[#This Row],[Total Selling Costs
	]]+Tabelle1[[#This Row],[DHL Costs]]+Tabelle1[[#This Row],[Handling Costs]]+Tabelle1[[#This Row],[Fixed Costs]]</f>
        <v>15.222000000000001</v>
      </c>
      <c r="J440" s="1">
        <f>Tabelle1[[#This Row],[Net Sales Price]]-Tabelle1[[#This Row],[Variable Costs]]</f>
        <v>8.3796949152542375</v>
      </c>
    </row>
    <row r="441" spans="1:10" ht="14.25" customHeight="1" x14ac:dyDescent="0.25">
      <c r="A441" s="8" t="s">
        <v>449</v>
      </c>
      <c r="B441" s="1">
        <v>6.49</v>
      </c>
      <c r="C441" s="1">
        <v>37.69</v>
      </c>
      <c r="D441" s="1">
        <f>Tabelle1[[#This Row],[Gross Sales Price]]/1.18</f>
        <v>31.940677966101696</v>
      </c>
      <c r="E441" s="1">
        <f>Tabelle1[[#This Row],[Gross Sales Price]]*0.12</f>
        <v>4.5227999999999993</v>
      </c>
      <c r="F441" s="1">
        <v>0.4</v>
      </c>
      <c r="G441" s="1">
        <v>3</v>
      </c>
      <c r="H441" s="1">
        <v>2</v>
      </c>
      <c r="I441" s="2">
        <f>Tabelle1[[#This Row],[Base Price]]+Tabelle1[[#This Row],[Total Selling Costs
	]]+Tabelle1[[#This Row],[DHL Costs]]+Tabelle1[[#This Row],[Handling Costs]]+Tabelle1[[#This Row],[Fixed Costs]]</f>
        <v>16.412799999999997</v>
      </c>
      <c r="J441" s="1">
        <f>Tabelle1[[#This Row],[Net Sales Price]]-Tabelle1[[#This Row],[Variable Costs]]</f>
        <v>15.527877966101698</v>
      </c>
    </row>
    <row r="442" spans="1:10" ht="14.25" customHeight="1" x14ac:dyDescent="0.25">
      <c r="A442" s="8" t="s">
        <v>450</v>
      </c>
      <c r="B442" s="1">
        <v>15.33</v>
      </c>
      <c r="C442" s="1">
        <v>14.39</v>
      </c>
      <c r="D442" s="1">
        <f>Tabelle1[[#This Row],[Gross Sales Price]]/1.18</f>
        <v>12.194915254237289</v>
      </c>
      <c r="E442" s="1">
        <f>Tabelle1[[#This Row],[Gross Sales Price]]*0.12</f>
        <v>1.7268000000000001</v>
      </c>
      <c r="F442" s="1">
        <v>0.4</v>
      </c>
      <c r="G442" s="1">
        <v>3</v>
      </c>
      <c r="H442" s="1">
        <v>2</v>
      </c>
      <c r="I442" s="2">
        <f>Tabelle1[[#This Row],[Base Price]]+Tabelle1[[#This Row],[Total Selling Costs
	]]+Tabelle1[[#This Row],[DHL Costs]]+Tabelle1[[#This Row],[Handling Costs]]+Tabelle1[[#This Row],[Fixed Costs]]</f>
        <v>22.456799999999998</v>
      </c>
      <c r="J442" s="1">
        <f>Tabelle1[[#This Row],[Net Sales Price]]-Tabelle1[[#This Row],[Variable Costs]]</f>
        <v>-10.261884745762709</v>
      </c>
    </row>
    <row r="443" spans="1:10" ht="14.25" customHeight="1" x14ac:dyDescent="0.25">
      <c r="A443" s="8" t="s">
        <v>451</v>
      </c>
      <c r="B443" s="1">
        <v>17.5</v>
      </c>
      <c r="C443" s="1">
        <v>3.39</v>
      </c>
      <c r="D443" s="1">
        <f>Tabelle1[[#This Row],[Gross Sales Price]]/1.18</f>
        <v>2.8728813559322037</v>
      </c>
      <c r="E443" s="1">
        <f>Tabelle1[[#This Row],[Gross Sales Price]]*0.12</f>
        <v>0.40679999999999999</v>
      </c>
      <c r="F443" s="1">
        <v>0.4</v>
      </c>
      <c r="G443" s="1">
        <v>3</v>
      </c>
      <c r="H443" s="1">
        <v>2</v>
      </c>
      <c r="I443" s="2">
        <f>Tabelle1[[#This Row],[Base Price]]+Tabelle1[[#This Row],[Total Selling Costs
	]]+Tabelle1[[#This Row],[DHL Costs]]+Tabelle1[[#This Row],[Handling Costs]]+Tabelle1[[#This Row],[Fixed Costs]]</f>
        <v>23.306799999999999</v>
      </c>
      <c r="J443" s="1">
        <f>Tabelle1[[#This Row],[Net Sales Price]]-Tabelle1[[#This Row],[Variable Costs]]</f>
        <v>-20.433918644067795</v>
      </c>
    </row>
    <row r="444" spans="1:10" ht="14.25" customHeight="1" x14ac:dyDescent="0.25">
      <c r="A444" s="8" t="s">
        <v>452</v>
      </c>
      <c r="B444" s="1">
        <v>15.08</v>
      </c>
      <c r="C444" s="1">
        <v>17.489999999999998</v>
      </c>
      <c r="D444" s="1">
        <f>Tabelle1[[#This Row],[Gross Sales Price]]/1.18</f>
        <v>14.822033898305085</v>
      </c>
      <c r="E444" s="1">
        <f>Tabelle1[[#This Row],[Gross Sales Price]]*0.12</f>
        <v>2.0987999999999998</v>
      </c>
      <c r="F444" s="1">
        <v>0.4</v>
      </c>
      <c r="G444" s="1">
        <v>3</v>
      </c>
      <c r="H444" s="1">
        <v>2</v>
      </c>
      <c r="I444" s="2">
        <f>Tabelle1[[#This Row],[Base Price]]+Tabelle1[[#This Row],[Total Selling Costs
	]]+Tabelle1[[#This Row],[DHL Costs]]+Tabelle1[[#This Row],[Handling Costs]]+Tabelle1[[#This Row],[Fixed Costs]]</f>
        <v>22.578799999999998</v>
      </c>
      <c r="J444" s="1">
        <f>Tabelle1[[#This Row],[Net Sales Price]]-Tabelle1[[#This Row],[Variable Costs]]</f>
        <v>-7.7567661016949128</v>
      </c>
    </row>
    <row r="445" spans="1:10" ht="14.25" customHeight="1" x14ac:dyDescent="0.25">
      <c r="A445" s="8" t="s">
        <v>453</v>
      </c>
      <c r="B445" s="1">
        <v>4.95</v>
      </c>
      <c r="C445" s="1">
        <v>31.1</v>
      </c>
      <c r="D445" s="1">
        <f>Tabelle1[[#This Row],[Gross Sales Price]]/1.18</f>
        <v>26.355932203389834</v>
      </c>
      <c r="E445" s="1">
        <f>Tabelle1[[#This Row],[Gross Sales Price]]*0.12</f>
        <v>3.7320000000000002</v>
      </c>
      <c r="F445" s="1">
        <v>0.4</v>
      </c>
      <c r="G445" s="1">
        <v>3</v>
      </c>
      <c r="H445" s="1">
        <v>2</v>
      </c>
      <c r="I445" s="2">
        <f>Tabelle1[[#This Row],[Base Price]]+Tabelle1[[#This Row],[Total Selling Costs
	]]+Tabelle1[[#This Row],[DHL Costs]]+Tabelle1[[#This Row],[Handling Costs]]+Tabelle1[[#This Row],[Fixed Costs]]</f>
        <v>14.082000000000001</v>
      </c>
      <c r="J445" s="1">
        <f>Tabelle1[[#This Row],[Net Sales Price]]-Tabelle1[[#This Row],[Variable Costs]]</f>
        <v>12.273932203389833</v>
      </c>
    </row>
    <row r="446" spans="1:10" ht="14.25" customHeight="1" x14ac:dyDescent="0.25">
      <c r="A446" s="8" t="s">
        <v>454</v>
      </c>
      <c r="B446" s="1">
        <v>19.75</v>
      </c>
      <c r="C446" s="1">
        <v>25.35</v>
      </c>
      <c r="D446" s="1">
        <f>Tabelle1[[#This Row],[Gross Sales Price]]/1.18</f>
        <v>21.48305084745763</v>
      </c>
      <c r="E446" s="1">
        <f>Tabelle1[[#This Row],[Gross Sales Price]]*0.12</f>
        <v>3.0420000000000003</v>
      </c>
      <c r="F446" s="1">
        <v>0.4</v>
      </c>
      <c r="G446" s="1">
        <v>3</v>
      </c>
      <c r="H446" s="1">
        <v>2</v>
      </c>
      <c r="I446" s="2">
        <f>Tabelle1[[#This Row],[Base Price]]+Tabelle1[[#This Row],[Total Selling Costs
	]]+Tabelle1[[#This Row],[DHL Costs]]+Tabelle1[[#This Row],[Handling Costs]]+Tabelle1[[#This Row],[Fixed Costs]]</f>
        <v>28.192</v>
      </c>
      <c r="J446" s="1">
        <f>Tabelle1[[#This Row],[Net Sales Price]]-Tabelle1[[#This Row],[Variable Costs]]</f>
        <v>-6.7089491525423703</v>
      </c>
    </row>
    <row r="447" spans="1:10" ht="14.25" customHeight="1" x14ac:dyDescent="0.25">
      <c r="A447" s="8" t="s">
        <v>455</v>
      </c>
      <c r="B447" s="1">
        <v>8.01</v>
      </c>
      <c r="C447" s="1">
        <v>19.13</v>
      </c>
      <c r="D447" s="1">
        <f>Tabelle1[[#This Row],[Gross Sales Price]]/1.18</f>
        <v>16.211864406779661</v>
      </c>
      <c r="E447" s="1">
        <f>Tabelle1[[#This Row],[Gross Sales Price]]*0.12</f>
        <v>2.2955999999999999</v>
      </c>
      <c r="F447" s="1">
        <v>0.4</v>
      </c>
      <c r="G447" s="1">
        <v>3</v>
      </c>
      <c r="H447" s="1">
        <v>2</v>
      </c>
      <c r="I447" s="2">
        <f>Tabelle1[[#This Row],[Base Price]]+Tabelle1[[#This Row],[Total Selling Costs
	]]+Tabelle1[[#This Row],[DHL Costs]]+Tabelle1[[#This Row],[Handling Costs]]+Tabelle1[[#This Row],[Fixed Costs]]</f>
        <v>15.7056</v>
      </c>
      <c r="J447" s="1">
        <f>Tabelle1[[#This Row],[Net Sales Price]]-Tabelle1[[#This Row],[Variable Costs]]</f>
        <v>0.50626440677966045</v>
      </c>
    </row>
    <row r="448" spans="1:10" ht="14.25" customHeight="1" x14ac:dyDescent="0.25">
      <c r="A448" s="8" t="s">
        <v>456</v>
      </c>
      <c r="B448" s="1">
        <v>2.8</v>
      </c>
      <c r="C448" s="1">
        <v>16.59</v>
      </c>
      <c r="D448" s="1">
        <f>Tabelle1[[#This Row],[Gross Sales Price]]/1.18</f>
        <v>14.059322033898306</v>
      </c>
      <c r="E448" s="1">
        <f>Tabelle1[[#This Row],[Gross Sales Price]]*0.12</f>
        <v>1.9907999999999999</v>
      </c>
      <c r="F448" s="1">
        <v>0.4</v>
      </c>
      <c r="G448" s="1">
        <v>3</v>
      </c>
      <c r="H448" s="1">
        <v>2</v>
      </c>
      <c r="I448" s="2">
        <f>Tabelle1[[#This Row],[Base Price]]+Tabelle1[[#This Row],[Total Selling Costs
	]]+Tabelle1[[#This Row],[DHL Costs]]+Tabelle1[[#This Row],[Handling Costs]]+Tabelle1[[#This Row],[Fixed Costs]]</f>
        <v>10.190800000000001</v>
      </c>
      <c r="J448" s="1">
        <f>Tabelle1[[#This Row],[Net Sales Price]]-Tabelle1[[#This Row],[Variable Costs]]</f>
        <v>3.8685220338983051</v>
      </c>
    </row>
    <row r="449" spans="1:10" ht="14.25" customHeight="1" x14ac:dyDescent="0.25">
      <c r="A449" s="8" t="s">
        <v>457</v>
      </c>
      <c r="B449" s="1">
        <v>17.66</v>
      </c>
      <c r="C449" s="1">
        <v>32.799999999999997</v>
      </c>
      <c r="D449" s="1">
        <f>Tabelle1[[#This Row],[Gross Sales Price]]/1.18</f>
        <v>27.796610169491526</v>
      </c>
      <c r="E449" s="1">
        <f>Tabelle1[[#This Row],[Gross Sales Price]]*0.12</f>
        <v>3.9359999999999995</v>
      </c>
      <c r="F449" s="1">
        <v>0.4</v>
      </c>
      <c r="G449" s="1">
        <v>3</v>
      </c>
      <c r="H449" s="1">
        <v>2</v>
      </c>
      <c r="I449" s="2">
        <f>Tabelle1[[#This Row],[Base Price]]+Tabelle1[[#This Row],[Total Selling Costs
	]]+Tabelle1[[#This Row],[DHL Costs]]+Tabelle1[[#This Row],[Handling Costs]]+Tabelle1[[#This Row],[Fixed Costs]]</f>
        <v>26.995999999999999</v>
      </c>
      <c r="J449" s="1">
        <f>Tabelle1[[#This Row],[Net Sales Price]]-Tabelle1[[#This Row],[Variable Costs]]</f>
        <v>0.8006101694915273</v>
      </c>
    </row>
    <row r="450" spans="1:10" ht="14.25" customHeight="1" x14ac:dyDescent="0.25">
      <c r="A450" s="8" t="s">
        <v>458</v>
      </c>
      <c r="B450" s="1">
        <v>14.94</v>
      </c>
      <c r="C450" s="1">
        <v>17.62</v>
      </c>
      <c r="D450" s="1">
        <f>Tabelle1[[#This Row],[Gross Sales Price]]/1.18</f>
        <v>14.93220338983051</v>
      </c>
      <c r="E450" s="1">
        <f>Tabelle1[[#This Row],[Gross Sales Price]]*0.12</f>
        <v>2.1143999999999998</v>
      </c>
      <c r="F450" s="1">
        <v>0.4</v>
      </c>
      <c r="G450" s="1">
        <v>3</v>
      </c>
      <c r="H450" s="1">
        <v>2</v>
      </c>
      <c r="I450" s="2">
        <f>Tabelle1[[#This Row],[Base Price]]+Tabelle1[[#This Row],[Total Selling Costs
	]]+Tabelle1[[#This Row],[DHL Costs]]+Tabelle1[[#This Row],[Handling Costs]]+Tabelle1[[#This Row],[Fixed Costs]]</f>
        <v>22.4544</v>
      </c>
      <c r="J450" s="1">
        <f>Tabelle1[[#This Row],[Net Sales Price]]-Tabelle1[[#This Row],[Variable Costs]]</f>
        <v>-7.5221966101694893</v>
      </c>
    </row>
    <row r="451" spans="1:10" ht="14.25" customHeight="1" x14ac:dyDescent="0.25">
      <c r="A451" s="8" t="s">
        <v>459</v>
      </c>
      <c r="B451" s="1">
        <v>5.46</v>
      </c>
      <c r="C451" s="1">
        <v>7.29</v>
      </c>
      <c r="D451" s="1">
        <f>Tabelle1[[#This Row],[Gross Sales Price]]/1.18</f>
        <v>6.1779661016949152</v>
      </c>
      <c r="E451" s="1">
        <f>Tabelle1[[#This Row],[Gross Sales Price]]*0.12</f>
        <v>0.87480000000000002</v>
      </c>
      <c r="F451" s="1">
        <v>0.4</v>
      </c>
      <c r="G451" s="1">
        <v>3</v>
      </c>
      <c r="H451" s="1">
        <v>2</v>
      </c>
      <c r="I451" s="2">
        <f>Tabelle1[[#This Row],[Base Price]]+Tabelle1[[#This Row],[Total Selling Costs
	]]+Tabelle1[[#This Row],[DHL Costs]]+Tabelle1[[#This Row],[Handling Costs]]+Tabelle1[[#This Row],[Fixed Costs]]</f>
        <v>11.7348</v>
      </c>
      <c r="J451" s="1">
        <f>Tabelle1[[#This Row],[Net Sales Price]]-Tabelle1[[#This Row],[Variable Costs]]</f>
        <v>-5.5568338983050847</v>
      </c>
    </row>
    <row r="452" spans="1:10" ht="14.25" customHeight="1" x14ac:dyDescent="0.25">
      <c r="A452" s="8" t="s">
        <v>460</v>
      </c>
      <c r="B452" s="1">
        <v>14.95</v>
      </c>
      <c r="C452" s="1">
        <v>40.17</v>
      </c>
      <c r="D452" s="1">
        <f>Tabelle1[[#This Row],[Gross Sales Price]]/1.18</f>
        <v>34.042372881355938</v>
      </c>
      <c r="E452" s="1">
        <f>Tabelle1[[#This Row],[Gross Sales Price]]*0.12</f>
        <v>4.8204000000000002</v>
      </c>
      <c r="F452" s="1">
        <v>0.4</v>
      </c>
      <c r="G452" s="1">
        <v>3</v>
      </c>
      <c r="H452" s="1">
        <v>2</v>
      </c>
      <c r="I452" s="2">
        <f>Tabelle1[[#This Row],[Base Price]]+Tabelle1[[#This Row],[Total Selling Costs
	]]+Tabelle1[[#This Row],[DHL Costs]]+Tabelle1[[#This Row],[Handling Costs]]+Tabelle1[[#This Row],[Fixed Costs]]</f>
        <v>25.170399999999997</v>
      </c>
      <c r="J452" s="1">
        <f>Tabelle1[[#This Row],[Net Sales Price]]-Tabelle1[[#This Row],[Variable Costs]]</f>
        <v>8.8719728813559406</v>
      </c>
    </row>
    <row r="453" spans="1:10" ht="14.25" customHeight="1" x14ac:dyDescent="0.25">
      <c r="A453" s="8" t="s">
        <v>461</v>
      </c>
      <c r="B453" s="1">
        <v>18.850000000000001</v>
      </c>
      <c r="C453" s="1">
        <v>17.18</v>
      </c>
      <c r="D453" s="1">
        <f>Tabelle1[[#This Row],[Gross Sales Price]]/1.18</f>
        <v>14.559322033898306</v>
      </c>
      <c r="E453" s="1">
        <f>Tabelle1[[#This Row],[Gross Sales Price]]*0.12</f>
        <v>2.0615999999999999</v>
      </c>
      <c r="F453" s="1">
        <v>0.4</v>
      </c>
      <c r="G453" s="1">
        <v>3</v>
      </c>
      <c r="H453" s="1">
        <v>2</v>
      </c>
      <c r="I453" s="2">
        <f>Tabelle1[[#This Row],[Base Price]]+Tabelle1[[#This Row],[Total Selling Costs
	]]+Tabelle1[[#This Row],[DHL Costs]]+Tabelle1[[#This Row],[Handling Costs]]+Tabelle1[[#This Row],[Fixed Costs]]</f>
        <v>26.311599999999999</v>
      </c>
      <c r="J453" s="1">
        <f>Tabelle1[[#This Row],[Net Sales Price]]-Tabelle1[[#This Row],[Variable Costs]]</f>
        <v>-11.752277966101692</v>
      </c>
    </row>
    <row r="454" spans="1:10" ht="14.25" customHeight="1" x14ac:dyDescent="0.25">
      <c r="A454" s="8" t="s">
        <v>462</v>
      </c>
      <c r="B454" s="1">
        <v>8.76</v>
      </c>
      <c r="C454" s="1">
        <v>34.76</v>
      </c>
      <c r="D454" s="1">
        <f>Tabelle1[[#This Row],[Gross Sales Price]]/1.18</f>
        <v>29.457627118644069</v>
      </c>
      <c r="E454" s="1">
        <f>Tabelle1[[#This Row],[Gross Sales Price]]*0.12</f>
        <v>4.1711999999999998</v>
      </c>
      <c r="F454" s="1">
        <v>0.4</v>
      </c>
      <c r="G454" s="1">
        <v>3</v>
      </c>
      <c r="H454" s="1">
        <v>2</v>
      </c>
      <c r="I454" s="2">
        <f>Tabelle1[[#This Row],[Base Price]]+Tabelle1[[#This Row],[Total Selling Costs
	]]+Tabelle1[[#This Row],[DHL Costs]]+Tabelle1[[#This Row],[Handling Costs]]+Tabelle1[[#This Row],[Fixed Costs]]</f>
        <v>18.331199999999999</v>
      </c>
      <c r="J454" s="1">
        <f>Tabelle1[[#This Row],[Net Sales Price]]-Tabelle1[[#This Row],[Variable Costs]]</f>
        <v>11.12642711864407</v>
      </c>
    </row>
    <row r="455" spans="1:10" ht="14.25" customHeight="1" x14ac:dyDescent="0.25">
      <c r="A455" s="8" t="s">
        <v>463</v>
      </c>
      <c r="B455" s="1">
        <v>2.88</v>
      </c>
      <c r="C455" s="1">
        <v>16.21</v>
      </c>
      <c r="D455" s="1">
        <f>Tabelle1[[#This Row],[Gross Sales Price]]/1.18</f>
        <v>13.737288135593221</v>
      </c>
      <c r="E455" s="1">
        <f>Tabelle1[[#This Row],[Gross Sales Price]]*0.12</f>
        <v>1.9452</v>
      </c>
      <c r="F455" s="1">
        <v>0.4</v>
      </c>
      <c r="G455" s="1">
        <v>3</v>
      </c>
      <c r="H455" s="1">
        <v>2</v>
      </c>
      <c r="I455" s="2">
        <f>Tabelle1[[#This Row],[Base Price]]+Tabelle1[[#This Row],[Total Selling Costs
	]]+Tabelle1[[#This Row],[DHL Costs]]+Tabelle1[[#This Row],[Handling Costs]]+Tabelle1[[#This Row],[Fixed Costs]]</f>
        <v>10.225199999999999</v>
      </c>
      <c r="J455" s="1">
        <f>Tabelle1[[#This Row],[Net Sales Price]]-Tabelle1[[#This Row],[Variable Costs]]</f>
        <v>3.5120881355932223</v>
      </c>
    </row>
    <row r="456" spans="1:10" ht="14.25" customHeight="1" x14ac:dyDescent="0.25">
      <c r="A456" s="8" t="s">
        <v>464</v>
      </c>
      <c r="B456" s="1">
        <v>18.399999999999999</v>
      </c>
      <c r="C456" s="1">
        <v>5.71</v>
      </c>
      <c r="D456" s="1">
        <f>Tabelle1[[#This Row],[Gross Sales Price]]/1.18</f>
        <v>4.8389830508474576</v>
      </c>
      <c r="E456" s="1">
        <f>Tabelle1[[#This Row],[Gross Sales Price]]*0.12</f>
        <v>0.68519999999999992</v>
      </c>
      <c r="F456" s="1">
        <v>0.4</v>
      </c>
      <c r="G456" s="1">
        <v>3</v>
      </c>
      <c r="H456" s="1">
        <v>2</v>
      </c>
      <c r="I456" s="2">
        <f>Tabelle1[[#This Row],[Base Price]]+Tabelle1[[#This Row],[Total Selling Costs
	]]+Tabelle1[[#This Row],[DHL Costs]]+Tabelle1[[#This Row],[Handling Costs]]+Tabelle1[[#This Row],[Fixed Costs]]</f>
        <v>24.485199999999995</v>
      </c>
      <c r="J456" s="1">
        <f>Tabelle1[[#This Row],[Net Sales Price]]-Tabelle1[[#This Row],[Variable Costs]]</f>
        <v>-19.646216949152539</v>
      </c>
    </row>
    <row r="457" spans="1:10" ht="14.25" customHeight="1" x14ac:dyDescent="0.25">
      <c r="A457" s="8" t="s">
        <v>465</v>
      </c>
      <c r="B457" s="1">
        <v>12.54</v>
      </c>
      <c r="C457" s="1">
        <v>16.489999999999998</v>
      </c>
      <c r="D457" s="1">
        <f>Tabelle1[[#This Row],[Gross Sales Price]]/1.18</f>
        <v>13.974576271186439</v>
      </c>
      <c r="E457" s="1">
        <f>Tabelle1[[#This Row],[Gross Sales Price]]*0.12</f>
        <v>1.9787999999999997</v>
      </c>
      <c r="F457" s="1">
        <v>0.4</v>
      </c>
      <c r="G457" s="1">
        <v>3</v>
      </c>
      <c r="H457" s="1">
        <v>2</v>
      </c>
      <c r="I457" s="2">
        <f>Tabelle1[[#This Row],[Base Price]]+Tabelle1[[#This Row],[Total Selling Costs
	]]+Tabelle1[[#This Row],[DHL Costs]]+Tabelle1[[#This Row],[Handling Costs]]+Tabelle1[[#This Row],[Fixed Costs]]</f>
        <v>19.918799999999997</v>
      </c>
      <c r="J457" s="1">
        <f>Tabelle1[[#This Row],[Net Sales Price]]-Tabelle1[[#This Row],[Variable Costs]]</f>
        <v>-5.944223728813558</v>
      </c>
    </row>
    <row r="458" spans="1:10" ht="14.25" customHeight="1" x14ac:dyDescent="0.25">
      <c r="A458" s="8" t="s">
        <v>466</v>
      </c>
      <c r="B458" s="1">
        <v>15.93</v>
      </c>
      <c r="C458" s="1">
        <v>2.84</v>
      </c>
      <c r="D458" s="1">
        <f>Tabelle1[[#This Row],[Gross Sales Price]]/1.18</f>
        <v>2.406779661016949</v>
      </c>
      <c r="E458" s="1">
        <f>Tabelle1[[#This Row],[Gross Sales Price]]*0.12</f>
        <v>0.34079999999999999</v>
      </c>
      <c r="F458" s="1">
        <v>0.4</v>
      </c>
      <c r="G458" s="1">
        <v>3</v>
      </c>
      <c r="H458" s="1">
        <v>2</v>
      </c>
      <c r="I458" s="2">
        <f>Tabelle1[[#This Row],[Base Price]]+Tabelle1[[#This Row],[Total Selling Costs
	]]+Tabelle1[[#This Row],[DHL Costs]]+Tabelle1[[#This Row],[Handling Costs]]+Tabelle1[[#This Row],[Fixed Costs]]</f>
        <v>21.6708</v>
      </c>
      <c r="J458" s="1">
        <f>Tabelle1[[#This Row],[Net Sales Price]]-Tabelle1[[#This Row],[Variable Costs]]</f>
        <v>-19.264020338983052</v>
      </c>
    </row>
    <row r="459" spans="1:10" ht="14.25" customHeight="1" x14ac:dyDescent="0.25">
      <c r="A459" s="8" t="s">
        <v>467</v>
      </c>
      <c r="B459" s="1">
        <v>6.28</v>
      </c>
      <c r="C459" s="1">
        <v>35.35</v>
      </c>
      <c r="D459" s="1">
        <f>Tabelle1[[#This Row],[Gross Sales Price]]/1.18</f>
        <v>29.957627118644069</v>
      </c>
      <c r="E459" s="1">
        <f>Tabelle1[[#This Row],[Gross Sales Price]]*0.12</f>
        <v>4.242</v>
      </c>
      <c r="F459" s="1">
        <v>0.4</v>
      </c>
      <c r="G459" s="1">
        <v>3</v>
      </c>
      <c r="H459" s="1">
        <v>2</v>
      </c>
      <c r="I459" s="2">
        <f>Tabelle1[[#This Row],[Base Price]]+Tabelle1[[#This Row],[Total Selling Costs
	]]+Tabelle1[[#This Row],[DHL Costs]]+Tabelle1[[#This Row],[Handling Costs]]+Tabelle1[[#This Row],[Fixed Costs]]</f>
        <v>15.922000000000001</v>
      </c>
      <c r="J459" s="1">
        <f>Tabelle1[[#This Row],[Net Sales Price]]-Tabelle1[[#This Row],[Variable Costs]]</f>
        <v>14.035627118644069</v>
      </c>
    </row>
    <row r="460" spans="1:10" ht="14.25" customHeight="1" x14ac:dyDescent="0.25">
      <c r="A460" s="8" t="s">
        <v>468</v>
      </c>
      <c r="B460" s="1">
        <v>14.44</v>
      </c>
      <c r="C460" s="1">
        <v>33.450000000000003</v>
      </c>
      <c r="D460" s="1">
        <f>Tabelle1[[#This Row],[Gross Sales Price]]/1.18</f>
        <v>28.347457627118647</v>
      </c>
      <c r="E460" s="1">
        <f>Tabelle1[[#This Row],[Gross Sales Price]]*0.12</f>
        <v>4.0140000000000002</v>
      </c>
      <c r="F460" s="1">
        <v>0.4</v>
      </c>
      <c r="G460" s="1">
        <v>3</v>
      </c>
      <c r="H460" s="1">
        <v>2</v>
      </c>
      <c r="I460" s="2">
        <f>Tabelle1[[#This Row],[Base Price]]+Tabelle1[[#This Row],[Total Selling Costs
	]]+Tabelle1[[#This Row],[DHL Costs]]+Tabelle1[[#This Row],[Handling Costs]]+Tabelle1[[#This Row],[Fixed Costs]]</f>
        <v>23.853999999999999</v>
      </c>
      <c r="J460" s="1">
        <f>Tabelle1[[#This Row],[Net Sales Price]]-Tabelle1[[#This Row],[Variable Costs]]</f>
        <v>4.4934576271186479</v>
      </c>
    </row>
    <row r="461" spans="1:10" ht="14.25" customHeight="1" x14ac:dyDescent="0.25">
      <c r="A461" s="8" t="s">
        <v>469</v>
      </c>
      <c r="B461" s="1">
        <v>10.86</v>
      </c>
      <c r="C461" s="1">
        <v>14.37</v>
      </c>
      <c r="D461" s="1">
        <f>Tabelle1[[#This Row],[Gross Sales Price]]/1.18</f>
        <v>12.177966101694915</v>
      </c>
      <c r="E461" s="1">
        <f>Tabelle1[[#This Row],[Gross Sales Price]]*0.12</f>
        <v>1.7243999999999999</v>
      </c>
      <c r="F461" s="1">
        <v>0.4</v>
      </c>
      <c r="G461" s="1">
        <v>3</v>
      </c>
      <c r="H461" s="1">
        <v>2</v>
      </c>
      <c r="I461" s="2">
        <f>Tabelle1[[#This Row],[Base Price]]+Tabelle1[[#This Row],[Total Selling Costs
	]]+Tabelle1[[#This Row],[DHL Costs]]+Tabelle1[[#This Row],[Handling Costs]]+Tabelle1[[#This Row],[Fixed Costs]]</f>
        <v>17.984399999999997</v>
      </c>
      <c r="J461" s="1">
        <f>Tabelle1[[#This Row],[Net Sales Price]]-Tabelle1[[#This Row],[Variable Costs]]</f>
        <v>-5.8064338983050821</v>
      </c>
    </row>
    <row r="462" spans="1:10" ht="14.25" customHeight="1" x14ac:dyDescent="0.25">
      <c r="A462" s="8" t="s">
        <v>470</v>
      </c>
      <c r="B462" s="1">
        <v>8.33</v>
      </c>
      <c r="C462" s="1">
        <v>21.42</v>
      </c>
      <c r="D462" s="1">
        <f>Tabelle1[[#This Row],[Gross Sales Price]]/1.18</f>
        <v>18.15254237288136</v>
      </c>
      <c r="E462" s="1">
        <f>Tabelle1[[#This Row],[Gross Sales Price]]*0.12</f>
        <v>2.5704000000000002</v>
      </c>
      <c r="F462" s="1">
        <v>0.4</v>
      </c>
      <c r="G462" s="1">
        <v>3</v>
      </c>
      <c r="H462" s="1">
        <v>2</v>
      </c>
      <c r="I462" s="2">
        <f>Tabelle1[[#This Row],[Base Price]]+Tabelle1[[#This Row],[Total Selling Costs
	]]+Tabelle1[[#This Row],[DHL Costs]]+Tabelle1[[#This Row],[Handling Costs]]+Tabelle1[[#This Row],[Fixed Costs]]</f>
        <v>16.3004</v>
      </c>
      <c r="J462" s="1">
        <f>Tabelle1[[#This Row],[Net Sales Price]]-Tabelle1[[#This Row],[Variable Costs]]</f>
        <v>1.8521423728813602</v>
      </c>
    </row>
    <row r="463" spans="1:10" ht="14.25" customHeight="1" x14ac:dyDescent="0.25">
      <c r="A463" s="8" t="s">
        <v>471</v>
      </c>
      <c r="B463" s="1">
        <v>4.9400000000000004</v>
      </c>
      <c r="C463" s="1">
        <v>38.700000000000003</v>
      </c>
      <c r="D463" s="1">
        <f>Tabelle1[[#This Row],[Gross Sales Price]]/1.18</f>
        <v>32.79661016949153</v>
      </c>
      <c r="E463" s="1">
        <f>Tabelle1[[#This Row],[Gross Sales Price]]*0.12</f>
        <v>4.6440000000000001</v>
      </c>
      <c r="F463" s="1">
        <v>0.4</v>
      </c>
      <c r="G463" s="1">
        <v>3</v>
      </c>
      <c r="H463" s="1">
        <v>2</v>
      </c>
      <c r="I463" s="2">
        <f>Tabelle1[[#This Row],[Base Price]]+Tabelle1[[#This Row],[Total Selling Costs
	]]+Tabelle1[[#This Row],[DHL Costs]]+Tabelle1[[#This Row],[Handling Costs]]+Tabelle1[[#This Row],[Fixed Costs]]</f>
        <v>14.984</v>
      </c>
      <c r="J463" s="1">
        <f>Tabelle1[[#This Row],[Net Sales Price]]-Tabelle1[[#This Row],[Variable Costs]]</f>
        <v>17.812610169491528</v>
      </c>
    </row>
    <row r="464" spans="1:10" ht="14.25" customHeight="1" x14ac:dyDescent="0.25">
      <c r="A464" s="8" t="s">
        <v>472</v>
      </c>
      <c r="B464" s="1">
        <v>19.010000000000002</v>
      </c>
      <c r="C464" s="1">
        <v>15.02</v>
      </c>
      <c r="D464" s="1">
        <f>Tabelle1[[#This Row],[Gross Sales Price]]/1.18</f>
        <v>12.728813559322035</v>
      </c>
      <c r="E464" s="1">
        <f>Tabelle1[[#This Row],[Gross Sales Price]]*0.12</f>
        <v>1.8023999999999998</v>
      </c>
      <c r="F464" s="1">
        <v>0.4</v>
      </c>
      <c r="G464" s="1">
        <v>3</v>
      </c>
      <c r="H464" s="1">
        <v>2</v>
      </c>
      <c r="I464" s="2">
        <f>Tabelle1[[#This Row],[Base Price]]+Tabelle1[[#This Row],[Total Selling Costs
	]]+Tabelle1[[#This Row],[DHL Costs]]+Tabelle1[[#This Row],[Handling Costs]]+Tabelle1[[#This Row],[Fixed Costs]]</f>
        <v>26.212399999999999</v>
      </c>
      <c r="J464" s="1">
        <f>Tabelle1[[#This Row],[Net Sales Price]]-Tabelle1[[#This Row],[Variable Costs]]</f>
        <v>-13.483586440677964</v>
      </c>
    </row>
    <row r="465" spans="1:10" ht="14.25" customHeight="1" x14ac:dyDescent="0.25">
      <c r="A465" s="8" t="s">
        <v>473</v>
      </c>
      <c r="B465" s="1">
        <v>14.65</v>
      </c>
      <c r="C465" s="1">
        <v>11.6</v>
      </c>
      <c r="D465" s="1">
        <f>Tabelle1[[#This Row],[Gross Sales Price]]/1.18</f>
        <v>9.8305084745762716</v>
      </c>
      <c r="E465" s="1">
        <f>Tabelle1[[#This Row],[Gross Sales Price]]*0.12</f>
        <v>1.3919999999999999</v>
      </c>
      <c r="F465" s="1">
        <v>0.4</v>
      </c>
      <c r="G465" s="1">
        <v>3</v>
      </c>
      <c r="H465" s="1">
        <v>2</v>
      </c>
      <c r="I465" s="2">
        <f>Tabelle1[[#This Row],[Base Price]]+Tabelle1[[#This Row],[Total Selling Costs
	]]+Tabelle1[[#This Row],[DHL Costs]]+Tabelle1[[#This Row],[Handling Costs]]+Tabelle1[[#This Row],[Fixed Costs]]</f>
        <v>21.442</v>
      </c>
      <c r="J465" s="1">
        <f>Tabelle1[[#This Row],[Net Sales Price]]-Tabelle1[[#This Row],[Variable Costs]]</f>
        <v>-11.611491525423729</v>
      </c>
    </row>
    <row r="466" spans="1:10" ht="14.25" customHeight="1" x14ac:dyDescent="0.25">
      <c r="A466" s="8" t="s">
        <v>474</v>
      </c>
      <c r="B466" s="1">
        <v>19.05</v>
      </c>
      <c r="C466" s="1">
        <v>9.32</v>
      </c>
      <c r="D466" s="1">
        <f>Tabelle1[[#This Row],[Gross Sales Price]]/1.18</f>
        <v>7.898305084745763</v>
      </c>
      <c r="E466" s="1">
        <f>Tabelle1[[#This Row],[Gross Sales Price]]*0.12</f>
        <v>1.1184000000000001</v>
      </c>
      <c r="F466" s="1">
        <v>0.4</v>
      </c>
      <c r="G466" s="1">
        <v>3</v>
      </c>
      <c r="H466" s="1">
        <v>2</v>
      </c>
      <c r="I466" s="2">
        <f>Tabelle1[[#This Row],[Base Price]]+Tabelle1[[#This Row],[Total Selling Costs
	]]+Tabelle1[[#This Row],[DHL Costs]]+Tabelle1[[#This Row],[Handling Costs]]+Tabelle1[[#This Row],[Fixed Costs]]</f>
        <v>25.5684</v>
      </c>
      <c r="J466" s="1">
        <f>Tabelle1[[#This Row],[Net Sales Price]]-Tabelle1[[#This Row],[Variable Costs]]</f>
        <v>-17.670094915254239</v>
      </c>
    </row>
    <row r="467" spans="1:10" ht="14.25" customHeight="1" x14ac:dyDescent="0.25">
      <c r="A467" s="8" t="s">
        <v>475</v>
      </c>
      <c r="B467" s="1">
        <v>4.18</v>
      </c>
      <c r="C467" s="1">
        <v>32.79</v>
      </c>
      <c r="D467" s="1">
        <f>Tabelle1[[#This Row],[Gross Sales Price]]/1.18</f>
        <v>27.788135593220339</v>
      </c>
      <c r="E467" s="1">
        <f>Tabelle1[[#This Row],[Gross Sales Price]]*0.12</f>
        <v>3.9347999999999996</v>
      </c>
      <c r="F467" s="1">
        <v>0.4</v>
      </c>
      <c r="G467" s="1">
        <v>3</v>
      </c>
      <c r="H467" s="1">
        <v>2</v>
      </c>
      <c r="I467" s="2">
        <f>Tabelle1[[#This Row],[Base Price]]+Tabelle1[[#This Row],[Total Selling Costs
	]]+Tabelle1[[#This Row],[DHL Costs]]+Tabelle1[[#This Row],[Handling Costs]]+Tabelle1[[#This Row],[Fixed Costs]]</f>
        <v>13.514799999999999</v>
      </c>
      <c r="J467" s="1">
        <f>Tabelle1[[#This Row],[Net Sales Price]]-Tabelle1[[#This Row],[Variable Costs]]</f>
        <v>14.27333559322034</v>
      </c>
    </row>
    <row r="468" spans="1:10" ht="14.25" customHeight="1" x14ac:dyDescent="0.25">
      <c r="A468" s="8" t="s">
        <v>476</v>
      </c>
      <c r="B468" s="1">
        <v>19.23</v>
      </c>
      <c r="C468" s="1">
        <v>16.62</v>
      </c>
      <c r="D468" s="1">
        <f>Tabelle1[[#This Row],[Gross Sales Price]]/1.18</f>
        <v>14.084745762711867</v>
      </c>
      <c r="E468" s="1">
        <f>Tabelle1[[#This Row],[Gross Sales Price]]*0.12</f>
        <v>1.9944</v>
      </c>
      <c r="F468" s="1">
        <v>0.4</v>
      </c>
      <c r="G468" s="1">
        <v>3</v>
      </c>
      <c r="H468" s="1">
        <v>2</v>
      </c>
      <c r="I468" s="2">
        <f>Tabelle1[[#This Row],[Base Price]]+Tabelle1[[#This Row],[Total Selling Costs
	]]+Tabelle1[[#This Row],[DHL Costs]]+Tabelle1[[#This Row],[Handling Costs]]+Tabelle1[[#This Row],[Fixed Costs]]</f>
        <v>26.624399999999998</v>
      </c>
      <c r="J468" s="1">
        <f>Tabelle1[[#This Row],[Net Sales Price]]-Tabelle1[[#This Row],[Variable Costs]]</f>
        <v>-12.539654237288131</v>
      </c>
    </row>
    <row r="469" spans="1:10" ht="14.25" customHeight="1" x14ac:dyDescent="0.25">
      <c r="A469" s="8" t="s">
        <v>477</v>
      </c>
      <c r="B469" s="1">
        <v>16.05</v>
      </c>
      <c r="C469" s="1">
        <v>8.7799999999999994</v>
      </c>
      <c r="D469" s="1">
        <f>Tabelle1[[#This Row],[Gross Sales Price]]/1.18</f>
        <v>7.4406779661016946</v>
      </c>
      <c r="E469" s="1">
        <f>Tabelle1[[#This Row],[Gross Sales Price]]*0.12</f>
        <v>1.0535999999999999</v>
      </c>
      <c r="F469" s="1">
        <v>0.4</v>
      </c>
      <c r="G469" s="1">
        <v>3</v>
      </c>
      <c r="H469" s="1">
        <v>2</v>
      </c>
      <c r="I469" s="2">
        <f>Tabelle1[[#This Row],[Base Price]]+Tabelle1[[#This Row],[Total Selling Costs
	]]+Tabelle1[[#This Row],[DHL Costs]]+Tabelle1[[#This Row],[Handling Costs]]+Tabelle1[[#This Row],[Fixed Costs]]</f>
        <v>22.503599999999999</v>
      </c>
      <c r="J469" s="1">
        <f>Tabelle1[[#This Row],[Net Sales Price]]-Tabelle1[[#This Row],[Variable Costs]]</f>
        <v>-15.062922033898303</v>
      </c>
    </row>
    <row r="470" spans="1:10" ht="14.25" customHeight="1" x14ac:dyDescent="0.25">
      <c r="A470" s="8" t="s">
        <v>478</v>
      </c>
      <c r="B470" s="1">
        <v>16.22</v>
      </c>
      <c r="C470" s="1">
        <v>34.67</v>
      </c>
      <c r="D470" s="1">
        <f>Tabelle1[[#This Row],[Gross Sales Price]]/1.18</f>
        <v>29.381355932203395</v>
      </c>
      <c r="E470" s="1">
        <f>Tabelle1[[#This Row],[Gross Sales Price]]*0.12</f>
        <v>4.1604000000000001</v>
      </c>
      <c r="F470" s="1">
        <v>0.4</v>
      </c>
      <c r="G470" s="1">
        <v>3</v>
      </c>
      <c r="H470" s="1">
        <v>2</v>
      </c>
      <c r="I470" s="2">
        <f>Tabelle1[[#This Row],[Base Price]]+Tabelle1[[#This Row],[Total Selling Costs
	]]+Tabelle1[[#This Row],[DHL Costs]]+Tabelle1[[#This Row],[Handling Costs]]+Tabelle1[[#This Row],[Fixed Costs]]</f>
        <v>25.780399999999997</v>
      </c>
      <c r="J470" s="1">
        <f>Tabelle1[[#This Row],[Net Sales Price]]-Tabelle1[[#This Row],[Variable Costs]]</f>
        <v>3.6009559322033979</v>
      </c>
    </row>
    <row r="471" spans="1:10" ht="14.25" customHeight="1" x14ac:dyDescent="0.25">
      <c r="A471" s="8" t="s">
        <v>479</v>
      </c>
      <c r="B471" s="1">
        <v>18.3</v>
      </c>
      <c r="C471" s="1">
        <v>5.55</v>
      </c>
      <c r="D471" s="1">
        <f>Tabelle1[[#This Row],[Gross Sales Price]]/1.18</f>
        <v>4.7033898305084749</v>
      </c>
      <c r="E471" s="1">
        <f>Tabelle1[[#This Row],[Gross Sales Price]]*0.12</f>
        <v>0.66599999999999993</v>
      </c>
      <c r="F471" s="1">
        <v>0.4</v>
      </c>
      <c r="G471" s="1">
        <v>3</v>
      </c>
      <c r="H471" s="1">
        <v>2</v>
      </c>
      <c r="I471" s="2">
        <f>Tabelle1[[#This Row],[Base Price]]+Tabelle1[[#This Row],[Total Selling Costs
	]]+Tabelle1[[#This Row],[DHL Costs]]+Tabelle1[[#This Row],[Handling Costs]]+Tabelle1[[#This Row],[Fixed Costs]]</f>
        <v>24.366</v>
      </c>
      <c r="J471" s="1">
        <f>Tabelle1[[#This Row],[Net Sales Price]]-Tabelle1[[#This Row],[Variable Costs]]</f>
        <v>-19.662610169491526</v>
      </c>
    </row>
    <row r="472" spans="1:10" ht="14.25" customHeight="1" x14ac:dyDescent="0.25">
      <c r="A472" s="8" t="s">
        <v>480</v>
      </c>
      <c r="B472" s="1">
        <v>3.13</v>
      </c>
      <c r="C472" s="1">
        <v>35.950000000000003</v>
      </c>
      <c r="D472" s="1">
        <f>Tabelle1[[#This Row],[Gross Sales Price]]/1.18</f>
        <v>30.46610169491526</v>
      </c>
      <c r="E472" s="1">
        <f>Tabelle1[[#This Row],[Gross Sales Price]]*0.12</f>
        <v>4.3140000000000001</v>
      </c>
      <c r="F472" s="1">
        <v>0.4</v>
      </c>
      <c r="G472" s="1">
        <v>3</v>
      </c>
      <c r="H472" s="1">
        <v>2</v>
      </c>
      <c r="I472" s="2">
        <f>Tabelle1[[#This Row],[Base Price]]+Tabelle1[[#This Row],[Total Selling Costs
	]]+Tabelle1[[#This Row],[DHL Costs]]+Tabelle1[[#This Row],[Handling Costs]]+Tabelle1[[#This Row],[Fixed Costs]]</f>
        <v>12.843999999999999</v>
      </c>
      <c r="J472" s="1">
        <f>Tabelle1[[#This Row],[Net Sales Price]]-Tabelle1[[#This Row],[Variable Costs]]</f>
        <v>17.622101694915258</v>
      </c>
    </row>
    <row r="473" spans="1:10" ht="14.25" customHeight="1" x14ac:dyDescent="0.25">
      <c r="A473" s="8" t="s">
        <v>481</v>
      </c>
      <c r="B473" s="1">
        <v>12.42</v>
      </c>
      <c r="C473" s="1">
        <v>32.39</v>
      </c>
      <c r="D473" s="1">
        <f>Tabelle1[[#This Row],[Gross Sales Price]]/1.18</f>
        <v>27.449152542372882</v>
      </c>
      <c r="E473" s="1">
        <f>Tabelle1[[#This Row],[Gross Sales Price]]*0.12</f>
        <v>3.8868</v>
      </c>
      <c r="F473" s="1">
        <v>0.4</v>
      </c>
      <c r="G473" s="1">
        <v>3</v>
      </c>
      <c r="H473" s="1">
        <v>2</v>
      </c>
      <c r="I473" s="2">
        <f>Tabelle1[[#This Row],[Base Price]]+Tabelle1[[#This Row],[Total Selling Costs
	]]+Tabelle1[[#This Row],[DHL Costs]]+Tabelle1[[#This Row],[Handling Costs]]+Tabelle1[[#This Row],[Fixed Costs]]</f>
        <v>21.706799999999998</v>
      </c>
      <c r="J473" s="1">
        <f>Tabelle1[[#This Row],[Net Sales Price]]-Tabelle1[[#This Row],[Variable Costs]]</f>
        <v>5.7423525423728847</v>
      </c>
    </row>
    <row r="474" spans="1:10" ht="14.25" customHeight="1" x14ac:dyDescent="0.25">
      <c r="A474" s="8" t="s">
        <v>482</v>
      </c>
      <c r="B474" s="1">
        <v>15.93</v>
      </c>
      <c r="C474" s="1">
        <v>34.14</v>
      </c>
      <c r="D474" s="1">
        <f>Tabelle1[[#This Row],[Gross Sales Price]]/1.18</f>
        <v>28.932203389830512</v>
      </c>
      <c r="E474" s="1">
        <f>Tabelle1[[#This Row],[Gross Sales Price]]*0.12</f>
        <v>4.0968</v>
      </c>
      <c r="F474" s="1">
        <v>0.4</v>
      </c>
      <c r="G474" s="1">
        <v>3</v>
      </c>
      <c r="H474" s="1">
        <v>2</v>
      </c>
      <c r="I474" s="2">
        <f>Tabelle1[[#This Row],[Base Price]]+Tabelle1[[#This Row],[Total Selling Costs
	]]+Tabelle1[[#This Row],[DHL Costs]]+Tabelle1[[#This Row],[Handling Costs]]+Tabelle1[[#This Row],[Fixed Costs]]</f>
        <v>25.4268</v>
      </c>
      <c r="J474" s="1">
        <f>Tabelle1[[#This Row],[Net Sales Price]]-Tabelle1[[#This Row],[Variable Costs]]</f>
        <v>3.5054033898305121</v>
      </c>
    </row>
    <row r="475" spans="1:10" ht="14.25" customHeight="1" x14ac:dyDescent="0.25">
      <c r="A475" s="8" t="s">
        <v>483</v>
      </c>
      <c r="B475" s="1">
        <v>2.63</v>
      </c>
      <c r="C475" s="1">
        <v>17.059999999999999</v>
      </c>
      <c r="D475" s="1">
        <f>Tabelle1[[#This Row],[Gross Sales Price]]/1.18</f>
        <v>14.457627118644067</v>
      </c>
      <c r="E475" s="1">
        <f>Tabelle1[[#This Row],[Gross Sales Price]]*0.12</f>
        <v>2.0471999999999997</v>
      </c>
      <c r="F475" s="1">
        <v>0.4</v>
      </c>
      <c r="G475" s="1">
        <v>3</v>
      </c>
      <c r="H475" s="1">
        <v>2</v>
      </c>
      <c r="I475" s="2">
        <f>Tabelle1[[#This Row],[Base Price]]+Tabelle1[[#This Row],[Total Selling Costs
	]]+Tabelle1[[#This Row],[DHL Costs]]+Tabelle1[[#This Row],[Handling Costs]]+Tabelle1[[#This Row],[Fixed Costs]]</f>
        <v>10.077199999999999</v>
      </c>
      <c r="J475" s="1">
        <f>Tabelle1[[#This Row],[Net Sales Price]]-Tabelle1[[#This Row],[Variable Costs]]</f>
        <v>4.380427118644068</v>
      </c>
    </row>
    <row r="476" spans="1:10" ht="14.25" customHeight="1" x14ac:dyDescent="0.25">
      <c r="A476" s="8" t="s">
        <v>484</v>
      </c>
      <c r="B476" s="1">
        <v>19.53</v>
      </c>
      <c r="C476" s="1">
        <v>24.44</v>
      </c>
      <c r="D476" s="1">
        <f>Tabelle1[[#This Row],[Gross Sales Price]]/1.18</f>
        <v>20.711864406779664</v>
      </c>
      <c r="E476" s="1">
        <f>Tabelle1[[#This Row],[Gross Sales Price]]*0.12</f>
        <v>2.9327999999999999</v>
      </c>
      <c r="F476" s="1">
        <v>0.4</v>
      </c>
      <c r="G476" s="1">
        <v>3</v>
      </c>
      <c r="H476" s="1">
        <v>2</v>
      </c>
      <c r="I476" s="2">
        <f>Tabelle1[[#This Row],[Base Price]]+Tabelle1[[#This Row],[Total Selling Costs
	]]+Tabelle1[[#This Row],[DHL Costs]]+Tabelle1[[#This Row],[Handling Costs]]+Tabelle1[[#This Row],[Fixed Costs]]</f>
        <v>27.8628</v>
      </c>
      <c r="J476" s="1">
        <f>Tabelle1[[#This Row],[Net Sales Price]]-Tabelle1[[#This Row],[Variable Costs]]</f>
        <v>-7.1509355932203356</v>
      </c>
    </row>
    <row r="477" spans="1:10" ht="14.25" customHeight="1" x14ac:dyDescent="0.25">
      <c r="A477" s="8" t="s">
        <v>485</v>
      </c>
      <c r="B477" s="1">
        <v>1.73</v>
      </c>
      <c r="C477" s="1">
        <v>4.5599999999999996</v>
      </c>
      <c r="D477" s="1">
        <f>Tabelle1[[#This Row],[Gross Sales Price]]/1.18</f>
        <v>3.8644067796610169</v>
      </c>
      <c r="E477" s="1">
        <f>Tabelle1[[#This Row],[Gross Sales Price]]*0.12</f>
        <v>0.54719999999999991</v>
      </c>
      <c r="F477" s="1">
        <v>0.4</v>
      </c>
      <c r="G477" s="1">
        <v>3</v>
      </c>
      <c r="H477" s="1">
        <v>2</v>
      </c>
      <c r="I477" s="2">
        <f>Tabelle1[[#This Row],[Base Price]]+Tabelle1[[#This Row],[Total Selling Costs
	]]+Tabelle1[[#This Row],[DHL Costs]]+Tabelle1[[#This Row],[Handling Costs]]+Tabelle1[[#This Row],[Fixed Costs]]</f>
        <v>7.6772</v>
      </c>
      <c r="J477" s="1">
        <f>Tabelle1[[#This Row],[Net Sales Price]]-Tabelle1[[#This Row],[Variable Costs]]</f>
        <v>-3.8127932203389832</v>
      </c>
    </row>
    <row r="478" spans="1:10" ht="14.25" customHeight="1" x14ac:dyDescent="0.25">
      <c r="A478" s="8" t="s">
        <v>486</v>
      </c>
      <c r="B478" s="1">
        <v>10.210000000000001</v>
      </c>
      <c r="C478" s="1">
        <v>32.32</v>
      </c>
      <c r="D478" s="1">
        <f>Tabelle1[[#This Row],[Gross Sales Price]]/1.18</f>
        <v>27.389830508474578</v>
      </c>
      <c r="E478" s="1">
        <f>Tabelle1[[#This Row],[Gross Sales Price]]*0.12</f>
        <v>3.8784000000000001</v>
      </c>
      <c r="F478" s="1">
        <v>0.4</v>
      </c>
      <c r="G478" s="1">
        <v>3</v>
      </c>
      <c r="H478" s="1">
        <v>2</v>
      </c>
      <c r="I478" s="2">
        <f>Tabelle1[[#This Row],[Base Price]]+Tabelle1[[#This Row],[Total Selling Costs
	]]+Tabelle1[[#This Row],[DHL Costs]]+Tabelle1[[#This Row],[Handling Costs]]+Tabelle1[[#This Row],[Fixed Costs]]</f>
        <v>19.488399999999999</v>
      </c>
      <c r="J478" s="1">
        <f>Tabelle1[[#This Row],[Net Sales Price]]-Tabelle1[[#This Row],[Variable Costs]]</f>
        <v>7.9014305084745793</v>
      </c>
    </row>
    <row r="479" spans="1:10" ht="14.25" customHeight="1" x14ac:dyDescent="0.25">
      <c r="A479" s="8" t="s">
        <v>487</v>
      </c>
      <c r="B479" s="1">
        <v>14.96</v>
      </c>
      <c r="C479" s="1">
        <v>10.02</v>
      </c>
      <c r="D479" s="1">
        <f>Tabelle1[[#This Row],[Gross Sales Price]]/1.18</f>
        <v>8.4915254237288131</v>
      </c>
      <c r="E479" s="1">
        <f>Tabelle1[[#This Row],[Gross Sales Price]]*0.12</f>
        <v>1.2023999999999999</v>
      </c>
      <c r="F479" s="1">
        <v>0.4</v>
      </c>
      <c r="G479" s="1">
        <v>3</v>
      </c>
      <c r="H479" s="1">
        <v>2</v>
      </c>
      <c r="I479" s="2">
        <f>Tabelle1[[#This Row],[Base Price]]+Tabelle1[[#This Row],[Total Selling Costs
	]]+Tabelle1[[#This Row],[DHL Costs]]+Tabelle1[[#This Row],[Handling Costs]]+Tabelle1[[#This Row],[Fixed Costs]]</f>
        <v>21.5624</v>
      </c>
      <c r="J479" s="1">
        <f>Tabelle1[[#This Row],[Net Sales Price]]-Tabelle1[[#This Row],[Variable Costs]]</f>
        <v>-13.070874576271187</v>
      </c>
    </row>
    <row r="480" spans="1:10" ht="14.25" customHeight="1" x14ac:dyDescent="0.25">
      <c r="A480" s="8" t="s">
        <v>488</v>
      </c>
      <c r="B480" s="1">
        <v>8.36</v>
      </c>
      <c r="C480" s="1">
        <v>29.11</v>
      </c>
      <c r="D480" s="1">
        <f>Tabelle1[[#This Row],[Gross Sales Price]]/1.18</f>
        <v>24.66949152542373</v>
      </c>
      <c r="E480" s="1">
        <f>Tabelle1[[#This Row],[Gross Sales Price]]*0.12</f>
        <v>3.4931999999999999</v>
      </c>
      <c r="F480" s="1">
        <v>0.4</v>
      </c>
      <c r="G480" s="1">
        <v>3</v>
      </c>
      <c r="H480" s="1">
        <v>2</v>
      </c>
      <c r="I480" s="2">
        <f>Tabelle1[[#This Row],[Base Price]]+Tabelle1[[#This Row],[Total Selling Costs
	]]+Tabelle1[[#This Row],[DHL Costs]]+Tabelle1[[#This Row],[Handling Costs]]+Tabelle1[[#This Row],[Fixed Costs]]</f>
        <v>17.2532</v>
      </c>
      <c r="J480" s="1">
        <f>Tabelle1[[#This Row],[Net Sales Price]]-Tabelle1[[#This Row],[Variable Costs]]</f>
        <v>7.4162915254237305</v>
      </c>
    </row>
    <row r="481" spans="1:10" ht="14.25" customHeight="1" x14ac:dyDescent="0.25">
      <c r="A481" s="8" t="s">
        <v>489</v>
      </c>
      <c r="B481" s="1">
        <v>6.04</v>
      </c>
      <c r="C481" s="1">
        <v>40.1</v>
      </c>
      <c r="D481" s="1">
        <f>Tabelle1[[#This Row],[Gross Sales Price]]/1.18</f>
        <v>33.983050847457633</v>
      </c>
      <c r="E481" s="1">
        <f>Tabelle1[[#This Row],[Gross Sales Price]]*0.12</f>
        <v>4.8120000000000003</v>
      </c>
      <c r="F481" s="1">
        <v>0.4</v>
      </c>
      <c r="G481" s="1">
        <v>3</v>
      </c>
      <c r="H481" s="1">
        <v>2</v>
      </c>
      <c r="I481" s="2">
        <f>Tabelle1[[#This Row],[Base Price]]+Tabelle1[[#This Row],[Total Selling Costs
	]]+Tabelle1[[#This Row],[DHL Costs]]+Tabelle1[[#This Row],[Handling Costs]]+Tabelle1[[#This Row],[Fixed Costs]]</f>
        <v>16.251999999999999</v>
      </c>
      <c r="J481" s="1">
        <f>Tabelle1[[#This Row],[Net Sales Price]]-Tabelle1[[#This Row],[Variable Costs]]</f>
        <v>17.731050847457634</v>
      </c>
    </row>
    <row r="482" spans="1:10" ht="14.25" customHeight="1" x14ac:dyDescent="0.25">
      <c r="A482" s="8" t="s">
        <v>490</v>
      </c>
      <c r="B482" s="1">
        <v>3.94</v>
      </c>
      <c r="C482" s="1">
        <v>19.690000000000001</v>
      </c>
      <c r="D482" s="1">
        <f>Tabelle1[[#This Row],[Gross Sales Price]]/1.18</f>
        <v>16.686440677966104</v>
      </c>
      <c r="E482" s="1">
        <f>Tabelle1[[#This Row],[Gross Sales Price]]*0.12</f>
        <v>2.3628</v>
      </c>
      <c r="F482" s="1">
        <v>0.4</v>
      </c>
      <c r="G482" s="1">
        <v>3</v>
      </c>
      <c r="H482" s="1">
        <v>2</v>
      </c>
      <c r="I482" s="2">
        <f>Tabelle1[[#This Row],[Base Price]]+Tabelle1[[#This Row],[Total Selling Costs
	]]+Tabelle1[[#This Row],[DHL Costs]]+Tabelle1[[#This Row],[Handling Costs]]+Tabelle1[[#This Row],[Fixed Costs]]</f>
        <v>11.7028</v>
      </c>
      <c r="J482" s="1">
        <f>Tabelle1[[#This Row],[Net Sales Price]]-Tabelle1[[#This Row],[Variable Costs]]</f>
        <v>4.983640677966104</v>
      </c>
    </row>
    <row r="483" spans="1:10" ht="14.25" customHeight="1" x14ac:dyDescent="0.25">
      <c r="A483" s="8" t="s">
        <v>491</v>
      </c>
      <c r="B483" s="1">
        <v>7.07</v>
      </c>
      <c r="C483" s="1">
        <v>30.61</v>
      </c>
      <c r="D483" s="1">
        <f>Tabelle1[[#This Row],[Gross Sales Price]]/1.18</f>
        <v>25.940677966101696</v>
      </c>
      <c r="E483" s="1">
        <f>Tabelle1[[#This Row],[Gross Sales Price]]*0.12</f>
        <v>3.6731999999999996</v>
      </c>
      <c r="F483" s="1">
        <v>0.4</v>
      </c>
      <c r="G483" s="1">
        <v>3</v>
      </c>
      <c r="H483" s="1">
        <v>2</v>
      </c>
      <c r="I483" s="2">
        <f>Tabelle1[[#This Row],[Base Price]]+Tabelle1[[#This Row],[Total Selling Costs
	]]+Tabelle1[[#This Row],[DHL Costs]]+Tabelle1[[#This Row],[Handling Costs]]+Tabelle1[[#This Row],[Fixed Costs]]</f>
        <v>16.1432</v>
      </c>
      <c r="J483" s="1">
        <f>Tabelle1[[#This Row],[Net Sales Price]]-Tabelle1[[#This Row],[Variable Costs]]</f>
        <v>9.7974779661016953</v>
      </c>
    </row>
    <row r="484" spans="1:10" ht="14.25" customHeight="1" x14ac:dyDescent="0.25">
      <c r="A484" s="8" t="s">
        <v>492</v>
      </c>
      <c r="B484" s="1">
        <v>9.7899999999999991</v>
      </c>
      <c r="C484" s="1">
        <v>24.55</v>
      </c>
      <c r="D484" s="1">
        <f>Tabelle1[[#This Row],[Gross Sales Price]]/1.18</f>
        <v>20.805084745762713</v>
      </c>
      <c r="E484" s="1">
        <f>Tabelle1[[#This Row],[Gross Sales Price]]*0.12</f>
        <v>2.9460000000000002</v>
      </c>
      <c r="F484" s="1">
        <v>0.4</v>
      </c>
      <c r="G484" s="1">
        <v>3</v>
      </c>
      <c r="H484" s="1">
        <v>2</v>
      </c>
      <c r="I484" s="2">
        <f>Tabelle1[[#This Row],[Base Price]]+Tabelle1[[#This Row],[Total Selling Costs
	]]+Tabelle1[[#This Row],[DHL Costs]]+Tabelle1[[#This Row],[Handling Costs]]+Tabelle1[[#This Row],[Fixed Costs]]</f>
        <v>18.135999999999996</v>
      </c>
      <c r="J484" s="1">
        <f>Tabelle1[[#This Row],[Net Sales Price]]-Tabelle1[[#This Row],[Variable Costs]]</f>
        <v>2.6690847457627171</v>
      </c>
    </row>
    <row r="485" spans="1:10" ht="14.25" customHeight="1" x14ac:dyDescent="0.25">
      <c r="A485" s="8" t="s">
        <v>493</v>
      </c>
      <c r="B485" s="1">
        <v>13.42</v>
      </c>
      <c r="C485" s="1">
        <v>40.49</v>
      </c>
      <c r="D485" s="1">
        <f>Tabelle1[[#This Row],[Gross Sales Price]]/1.18</f>
        <v>34.313559322033903</v>
      </c>
      <c r="E485" s="1">
        <f>Tabelle1[[#This Row],[Gross Sales Price]]*0.12</f>
        <v>4.8588000000000005</v>
      </c>
      <c r="F485" s="1">
        <v>0.4</v>
      </c>
      <c r="G485" s="1">
        <v>3</v>
      </c>
      <c r="H485" s="1">
        <v>2</v>
      </c>
      <c r="I485" s="2">
        <f>Tabelle1[[#This Row],[Base Price]]+Tabelle1[[#This Row],[Total Selling Costs
	]]+Tabelle1[[#This Row],[DHL Costs]]+Tabelle1[[#This Row],[Handling Costs]]+Tabelle1[[#This Row],[Fixed Costs]]</f>
        <v>23.678799999999999</v>
      </c>
      <c r="J485" s="1">
        <f>Tabelle1[[#This Row],[Net Sales Price]]-Tabelle1[[#This Row],[Variable Costs]]</f>
        <v>10.634759322033904</v>
      </c>
    </row>
    <row r="486" spans="1:10" ht="14.25" customHeight="1" x14ac:dyDescent="0.25">
      <c r="A486" s="8" t="s">
        <v>494</v>
      </c>
      <c r="B486" s="1">
        <v>11.34</v>
      </c>
      <c r="C486" s="1">
        <v>26.45</v>
      </c>
      <c r="D486" s="1">
        <f>Tabelle1[[#This Row],[Gross Sales Price]]/1.18</f>
        <v>22.415254237288135</v>
      </c>
      <c r="E486" s="1">
        <f>Tabelle1[[#This Row],[Gross Sales Price]]*0.12</f>
        <v>3.1739999999999999</v>
      </c>
      <c r="F486" s="1">
        <v>0.4</v>
      </c>
      <c r="G486" s="1">
        <v>3</v>
      </c>
      <c r="H486" s="1">
        <v>2</v>
      </c>
      <c r="I486" s="2">
        <f>Tabelle1[[#This Row],[Base Price]]+Tabelle1[[#This Row],[Total Selling Costs
	]]+Tabelle1[[#This Row],[DHL Costs]]+Tabelle1[[#This Row],[Handling Costs]]+Tabelle1[[#This Row],[Fixed Costs]]</f>
        <v>19.913999999999998</v>
      </c>
      <c r="J486" s="1">
        <f>Tabelle1[[#This Row],[Net Sales Price]]-Tabelle1[[#This Row],[Variable Costs]]</f>
        <v>2.501254237288137</v>
      </c>
    </row>
    <row r="487" spans="1:10" ht="14.25" customHeight="1" x14ac:dyDescent="0.25">
      <c r="A487" s="8" t="s">
        <v>495</v>
      </c>
      <c r="B487" s="1">
        <v>14.98</v>
      </c>
      <c r="C487" s="1">
        <v>5.93</v>
      </c>
      <c r="D487" s="1">
        <f>Tabelle1[[#This Row],[Gross Sales Price]]/1.18</f>
        <v>5.0254237288135597</v>
      </c>
      <c r="E487" s="1">
        <f>Tabelle1[[#This Row],[Gross Sales Price]]*0.12</f>
        <v>0.7115999999999999</v>
      </c>
      <c r="F487" s="1">
        <v>0.4</v>
      </c>
      <c r="G487" s="1">
        <v>3</v>
      </c>
      <c r="H487" s="1">
        <v>2</v>
      </c>
      <c r="I487" s="2">
        <f>Tabelle1[[#This Row],[Base Price]]+Tabelle1[[#This Row],[Total Selling Costs
	]]+Tabelle1[[#This Row],[DHL Costs]]+Tabelle1[[#This Row],[Handling Costs]]+Tabelle1[[#This Row],[Fixed Costs]]</f>
        <v>21.0916</v>
      </c>
      <c r="J487" s="1">
        <f>Tabelle1[[#This Row],[Net Sales Price]]-Tabelle1[[#This Row],[Variable Costs]]</f>
        <v>-16.066176271186439</v>
      </c>
    </row>
    <row r="488" spans="1:10" ht="14.25" customHeight="1" x14ac:dyDescent="0.25">
      <c r="A488" s="8" t="s">
        <v>496</v>
      </c>
      <c r="B488" s="1">
        <v>10.16</v>
      </c>
      <c r="C488" s="1">
        <v>39.22</v>
      </c>
      <c r="D488" s="1">
        <f>Tabelle1[[#This Row],[Gross Sales Price]]/1.18</f>
        <v>33.237288135593218</v>
      </c>
      <c r="E488" s="1">
        <f>Tabelle1[[#This Row],[Gross Sales Price]]*0.12</f>
        <v>4.7063999999999995</v>
      </c>
      <c r="F488" s="1">
        <v>0.4</v>
      </c>
      <c r="G488" s="1">
        <v>3</v>
      </c>
      <c r="H488" s="1">
        <v>2</v>
      </c>
      <c r="I488" s="2">
        <f>Tabelle1[[#This Row],[Base Price]]+Tabelle1[[#This Row],[Total Selling Costs
	]]+Tabelle1[[#This Row],[DHL Costs]]+Tabelle1[[#This Row],[Handling Costs]]+Tabelle1[[#This Row],[Fixed Costs]]</f>
        <v>20.266399999999997</v>
      </c>
      <c r="J488" s="1">
        <f>Tabelle1[[#This Row],[Net Sales Price]]-Tabelle1[[#This Row],[Variable Costs]]</f>
        <v>12.970888135593221</v>
      </c>
    </row>
    <row r="489" spans="1:10" ht="14.25" customHeight="1" x14ac:dyDescent="0.25">
      <c r="A489" s="8" t="s">
        <v>497</v>
      </c>
      <c r="B489" s="1">
        <v>4.26</v>
      </c>
      <c r="C489" s="1">
        <v>36.11</v>
      </c>
      <c r="D489" s="1">
        <f>Tabelle1[[#This Row],[Gross Sales Price]]/1.18</f>
        <v>30.601694915254239</v>
      </c>
      <c r="E489" s="1">
        <f>Tabelle1[[#This Row],[Gross Sales Price]]*0.12</f>
        <v>4.3331999999999997</v>
      </c>
      <c r="F489" s="1">
        <v>0.4</v>
      </c>
      <c r="G489" s="1">
        <v>3</v>
      </c>
      <c r="H489" s="1">
        <v>2</v>
      </c>
      <c r="I489" s="2">
        <f>Tabelle1[[#This Row],[Base Price]]+Tabelle1[[#This Row],[Total Selling Costs
	]]+Tabelle1[[#This Row],[DHL Costs]]+Tabelle1[[#This Row],[Handling Costs]]+Tabelle1[[#This Row],[Fixed Costs]]</f>
        <v>13.9932</v>
      </c>
      <c r="J489" s="1">
        <f>Tabelle1[[#This Row],[Net Sales Price]]-Tabelle1[[#This Row],[Variable Costs]]</f>
        <v>16.608494915254241</v>
      </c>
    </row>
    <row r="490" spans="1:10" ht="14.25" customHeight="1" x14ac:dyDescent="0.25">
      <c r="A490" s="8" t="s">
        <v>498</v>
      </c>
      <c r="B490" s="1">
        <v>7.64</v>
      </c>
      <c r="C490" s="1">
        <v>33.89</v>
      </c>
      <c r="D490" s="1">
        <f>Tabelle1[[#This Row],[Gross Sales Price]]/1.18</f>
        <v>28.720338983050848</v>
      </c>
      <c r="E490" s="1">
        <f>Tabelle1[[#This Row],[Gross Sales Price]]*0.12</f>
        <v>4.0667999999999997</v>
      </c>
      <c r="F490" s="1">
        <v>0.4</v>
      </c>
      <c r="G490" s="1">
        <v>3</v>
      </c>
      <c r="H490" s="1">
        <v>2</v>
      </c>
      <c r="I490" s="2">
        <f>Tabelle1[[#This Row],[Base Price]]+Tabelle1[[#This Row],[Total Selling Costs
	]]+Tabelle1[[#This Row],[DHL Costs]]+Tabelle1[[#This Row],[Handling Costs]]+Tabelle1[[#This Row],[Fixed Costs]]</f>
        <v>17.1068</v>
      </c>
      <c r="J490" s="1">
        <f>Tabelle1[[#This Row],[Net Sales Price]]-Tabelle1[[#This Row],[Variable Costs]]</f>
        <v>11.613538983050848</v>
      </c>
    </row>
    <row r="491" spans="1:10" ht="14.25" customHeight="1" x14ac:dyDescent="0.25">
      <c r="A491" s="8" t="s">
        <v>499</v>
      </c>
      <c r="B491" s="1">
        <v>2.77</v>
      </c>
      <c r="C491" s="1">
        <v>3.6</v>
      </c>
      <c r="D491" s="1">
        <f>Tabelle1[[#This Row],[Gross Sales Price]]/1.18</f>
        <v>3.050847457627119</v>
      </c>
      <c r="E491" s="1">
        <f>Tabelle1[[#This Row],[Gross Sales Price]]*0.12</f>
        <v>0.432</v>
      </c>
      <c r="F491" s="1">
        <v>0.4</v>
      </c>
      <c r="G491" s="1">
        <v>3</v>
      </c>
      <c r="H491" s="1">
        <v>2</v>
      </c>
      <c r="I491" s="2">
        <f>Tabelle1[[#This Row],[Base Price]]+Tabelle1[[#This Row],[Total Selling Costs
	]]+Tabelle1[[#This Row],[DHL Costs]]+Tabelle1[[#This Row],[Handling Costs]]+Tabelle1[[#This Row],[Fixed Costs]]</f>
        <v>8.6020000000000003</v>
      </c>
      <c r="J491" s="1">
        <f>Tabelle1[[#This Row],[Net Sales Price]]-Tabelle1[[#This Row],[Variable Costs]]</f>
        <v>-5.5511525423728809</v>
      </c>
    </row>
    <row r="492" spans="1:10" ht="14.25" customHeight="1" x14ac:dyDescent="0.25">
      <c r="A492" s="8" t="s">
        <v>500</v>
      </c>
      <c r="B492" s="1">
        <v>11.95</v>
      </c>
      <c r="C492" s="1">
        <v>2.81</v>
      </c>
      <c r="D492" s="1">
        <f>Tabelle1[[#This Row],[Gross Sales Price]]/1.18</f>
        <v>2.3813559322033901</v>
      </c>
      <c r="E492" s="1">
        <f>Tabelle1[[#This Row],[Gross Sales Price]]*0.12</f>
        <v>0.3372</v>
      </c>
      <c r="F492" s="1">
        <v>0.4</v>
      </c>
      <c r="G492" s="1">
        <v>3</v>
      </c>
      <c r="H492" s="1">
        <v>2</v>
      </c>
      <c r="I492" s="2">
        <f>Tabelle1[[#This Row],[Base Price]]+Tabelle1[[#This Row],[Total Selling Costs
	]]+Tabelle1[[#This Row],[DHL Costs]]+Tabelle1[[#This Row],[Handling Costs]]+Tabelle1[[#This Row],[Fixed Costs]]</f>
        <v>17.687199999999997</v>
      </c>
      <c r="J492" s="1">
        <f>Tabelle1[[#This Row],[Net Sales Price]]-Tabelle1[[#This Row],[Variable Costs]]</f>
        <v>-15.305844067796606</v>
      </c>
    </row>
    <row r="493" spans="1:10" ht="14.25" customHeight="1" x14ac:dyDescent="0.25">
      <c r="A493" s="8" t="s">
        <v>501</v>
      </c>
      <c r="B493" s="1">
        <v>8.02</v>
      </c>
      <c r="C493" s="1">
        <v>7.41</v>
      </c>
      <c r="D493" s="1">
        <f>Tabelle1[[#This Row],[Gross Sales Price]]/1.18</f>
        <v>6.2796610169491531</v>
      </c>
      <c r="E493" s="1">
        <f>Tabelle1[[#This Row],[Gross Sales Price]]*0.12</f>
        <v>0.88919999999999999</v>
      </c>
      <c r="F493" s="1">
        <v>0.4</v>
      </c>
      <c r="G493" s="1">
        <v>3</v>
      </c>
      <c r="H493" s="1">
        <v>2</v>
      </c>
      <c r="I493" s="2">
        <f>Tabelle1[[#This Row],[Base Price]]+Tabelle1[[#This Row],[Total Selling Costs
	]]+Tabelle1[[#This Row],[DHL Costs]]+Tabelle1[[#This Row],[Handling Costs]]+Tabelle1[[#This Row],[Fixed Costs]]</f>
        <v>14.309200000000001</v>
      </c>
      <c r="J493" s="1">
        <f>Tabelle1[[#This Row],[Net Sales Price]]-Tabelle1[[#This Row],[Variable Costs]]</f>
        <v>-8.0295389830508483</v>
      </c>
    </row>
    <row r="494" spans="1:10" ht="14.25" customHeight="1" x14ac:dyDescent="0.25">
      <c r="A494" s="8" t="s">
        <v>502</v>
      </c>
      <c r="B494" s="1">
        <v>19.79</v>
      </c>
      <c r="C494" s="1">
        <v>10.52</v>
      </c>
      <c r="D494" s="1">
        <f>Tabelle1[[#This Row],[Gross Sales Price]]/1.18</f>
        <v>8.9152542372881349</v>
      </c>
      <c r="E494" s="1">
        <f>Tabelle1[[#This Row],[Gross Sales Price]]*0.12</f>
        <v>1.2624</v>
      </c>
      <c r="F494" s="1">
        <v>0.4</v>
      </c>
      <c r="G494" s="1">
        <v>3</v>
      </c>
      <c r="H494" s="1">
        <v>2</v>
      </c>
      <c r="I494" s="2">
        <f>Tabelle1[[#This Row],[Base Price]]+Tabelle1[[#This Row],[Total Selling Costs
	]]+Tabelle1[[#This Row],[DHL Costs]]+Tabelle1[[#This Row],[Handling Costs]]+Tabelle1[[#This Row],[Fixed Costs]]</f>
        <v>26.452399999999997</v>
      </c>
      <c r="J494" s="1">
        <f>Tabelle1[[#This Row],[Net Sales Price]]-Tabelle1[[#This Row],[Variable Costs]]</f>
        <v>-17.537145762711862</v>
      </c>
    </row>
    <row r="495" spans="1:10" ht="14.25" customHeight="1" x14ac:dyDescent="0.25">
      <c r="A495" s="8" t="s">
        <v>503</v>
      </c>
      <c r="B495" s="1">
        <v>4.22</v>
      </c>
      <c r="C495" s="1">
        <v>5.44</v>
      </c>
      <c r="D495" s="1">
        <f>Tabelle1[[#This Row],[Gross Sales Price]]/1.18</f>
        <v>4.6101694915254239</v>
      </c>
      <c r="E495" s="1">
        <f>Tabelle1[[#This Row],[Gross Sales Price]]*0.12</f>
        <v>0.65280000000000005</v>
      </c>
      <c r="F495" s="1">
        <v>0.4</v>
      </c>
      <c r="G495" s="1">
        <v>3</v>
      </c>
      <c r="H495" s="1">
        <v>2</v>
      </c>
      <c r="I495" s="2">
        <f>Tabelle1[[#This Row],[Base Price]]+Tabelle1[[#This Row],[Total Selling Costs
	]]+Tabelle1[[#This Row],[DHL Costs]]+Tabelle1[[#This Row],[Handling Costs]]+Tabelle1[[#This Row],[Fixed Costs]]</f>
        <v>10.2728</v>
      </c>
      <c r="J495" s="1">
        <f>Tabelle1[[#This Row],[Net Sales Price]]-Tabelle1[[#This Row],[Variable Costs]]</f>
        <v>-5.6626305084745763</v>
      </c>
    </row>
    <row r="496" spans="1:10" ht="14.25" customHeight="1" x14ac:dyDescent="0.25">
      <c r="A496" s="8" t="s">
        <v>504</v>
      </c>
      <c r="B496" s="1">
        <v>18.760000000000002</v>
      </c>
      <c r="C496" s="1">
        <v>37.07</v>
      </c>
      <c r="D496" s="1">
        <f>Tabelle1[[#This Row],[Gross Sales Price]]/1.18</f>
        <v>31.415254237288138</v>
      </c>
      <c r="E496" s="1">
        <f>Tabelle1[[#This Row],[Gross Sales Price]]*0.12</f>
        <v>4.4483999999999995</v>
      </c>
      <c r="F496" s="1">
        <v>0.4</v>
      </c>
      <c r="G496" s="1">
        <v>3</v>
      </c>
      <c r="H496" s="1">
        <v>2</v>
      </c>
      <c r="I496" s="2">
        <f>Tabelle1[[#This Row],[Base Price]]+Tabelle1[[#This Row],[Total Selling Costs
	]]+Tabelle1[[#This Row],[DHL Costs]]+Tabelle1[[#This Row],[Handling Costs]]+Tabelle1[[#This Row],[Fixed Costs]]</f>
        <v>28.6084</v>
      </c>
      <c r="J496" s="1">
        <f>Tabelle1[[#This Row],[Net Sales Price]]-Tabelle1[[#This Row],[Variable Costs]]</f>
        <v>2.8068542372881389</v>
      </c>
    </row>
    <row r="497" spans="1:10" ht="14.25" customHeight="1" x14ac:dyDescent="0.25">
      <c r="A497" s="8" t="s">
        <v>505</v>
      </c>
      <c r="B497" s="1">
        <v>5.31</v>
      </c>
      <c r="C497" s="1">
        <v>10.029999999999999</v>
      </c>
      <c r="D497" s="1">
        <f>Tabelle1[[#This Row],[Gross Sales Price]]/1.18</f>
        <v>8.5</v>
      </c>
      <c r="E497" s="1">
        <f>Tabelle1[[#This Row],[Gross Sales Price]]*0.12</f>
        <v>1.2035999999999998</v>
      </c>
      <c r="F497" s="1">
        <v>0.4</v>
      </c>
      <c r="G497" s="1">
        <v>3</v>
      </c>
      <c r="H497" s="1">
        <v>2</v>
      </c>
      <c r="I497" s="2">
        <f>Tabelle1[[#This Row],[Base Price]]+Tabelle1[[#This Row],[Total Selling Costs
	]]+Tabelle1[[#This Row],[DHL Costs]]+Tabelle1[[#This Row],[Handling Costs]]+Tabelle1[[#This Row],[Fixed Costs]]</f>
        <v>11.913600000000001</v>
      </c>
      <c r="J497" s="1">
        <f>Tabelle1[[#This Row],[Net Sales Price]]-Tabelle1[[#This Row],[Variable Costs]]</f>
        <v>-3.4136000000000006</v>
      </c>
    </row>
    <row r="498" spans="1:10" ht="14.25" customHeight="1" x14ac:dyDescent="0.25">
      <c r="A498" s="8" t="s">
        <v>506</v>
      </c>
      <c r="B498" s="1">
        <v>15.8</v>
      </c>
      <c r="C498" s="1">
        <v>37.5</v>
      </c>
      <c r="D498" s="1">
        <f>Tabelle1[[#This Row],[Gross Sales Price]]/1.18</f>
        <v>31.779661016949156</v>
      </c>
      <c r="E498" s="1">
        <f>Tabelle1[[#This Row],[Gross Sales Price]]*0.12</f>
        <v>4.5</v>
      </c>
      <c r="F498" s="1">
        <v>0.4</v>
      </c>
      <c r="G498" s="1">
        <v>3</v>
      </c>
      <c r="H498" s="1">
        <v>2</v>
      </c>
      <c r="I498" s="2">
        <f>Tabelle1[[#This Row],[Base Price]]+Tabelle1[[#This Row],[Total Selling Costs
	]]+Tabelle1[[#This Row],[DHL Costs]]+Tabelle1[[#This Row],[Handling Costs]]+Tabelle1[[#This Row],[Fixed Costs]]</f>
        <v>25.7</v>
      </c>
      <c r="J498" s="1">
        <f>Tabelle1[[#This Row],[Net Sales Price]]-Tabelle1[[#This Row],[Variable Costs]]</f>
        <v>6.0796610169491565</v>
      </c>
    </row>
    <row r="499" spans="1:10" ht="14.25" customHeight="1" x14ac:dyDescent="0.25">
      <c r="A499" s="8" t="s">
        <v>507</v>
      </c>
      <c r="B499" s="1">
        <v>4.17</v>
      </c>
      <c r="C499" s="1">
        <v>8.9600000000000009</v>
      </c>
      <c r="D499" s="1">
        <f>Tabelle1[[#This Row],[Gross Sales Price]]/1.18</f>
        <v>7.5932203389830519</v>
      </c>
      <c r="E499" s="1">
        <f>Tabelle1[[#This Row],[Gross Sales Price]]*0.12</f>
        <v>1.0752000000000002</v>
      </c>
      <c r="F499" s="1">
        <v>0.4</v>
      </c>
      <c r="G499" s="1">
        <v>3</v>
      </c>
      <c r="H499" s="1">
        <v>2</v>
      </c>
      <c r="I499" s="2">
        <f>Tabelle1[[#This Row],[Base Price]]+Tabelle1[[#This Row],[Total Selling Costs
	]]+Tabelle1[[#This Row],[DHL Costs]]+Tabelle1[[#This Row],[Handling Costs]]+Tabelle1[[#This Row],[Fixed Costs]]</f>
        <v>10.645200000000001</v>
      </c>
      <c r="J499" s="1">
        <f>Tabelle1[[#This Row],[Net Sales Price]]-Tabelle1[[#This Row],[Variable Costs]]</f>
        <v>-3.051979661016949</v>
      </c>
    </row>
    <row r="500" spans="1:10" ht="14.25" customHeight="1" x14ac:dyDescent="0.25">
      <c r="A500" s="8" t="s">
        <v>508</v>
      </c>
      <c r="B500" s="1">
        <v>11.08</v>
      </c>
      <c r="C500" s="1">
        <v>4.3</v>
      </c>
      <c r="D500" s="1">
        <f>Tabelle1[[#This Row],[Gross Sales Price]]/1.18</f>
        <v>3.6440677966101696</v>
      </c>
      <c r="E500" s="1">
        <f>Tabelle1[[#This Row],[Gross Sales Price]]*0.12</f>
        <v>0.51600000000000001</v>
      </c>
      <c r="F500" s="1">
        <v>0.4</v>
      </c>
      <c r="G500" s="1">
        <v>3</v>
      </c>
      <c r="H500" s="1">
        <v>2</v>
      </c>
      <c r="I500" s="2">
        <f>Tabelle1[[#This Row],[Base Price]]+Tabelle1[[#This Row],[Total Selling Costs
	]]+Tabelle1[[#This Row],[DHL Costs]]+Tabelle1[[#This Row],[Handling Costs]]+Tabelle1[[#This Row],[Fixed Costs]]</f>
        <v>16.995999999999999</v>
      </c>
      <c r="J500" s="1">
        <f>Tabelle1[[#This Row],[Net Sales Price]]-Tabelle1[[#This Row],[Variable Costs]]</f>
        <v>-13.351932203389829</v>
      </c>
    </row>
    <row r="501" spans="1:10" ht="14.25" customHeight="1" x14ac:dyDescent="0.25">
      <c r="A501" s="8" t="s">
        <v>509</v>
      </c>
      <c r="B501" s="1">
        <v>12.37</v>
      </c>
      <c r="C501" s="1">
        <v>40.54</v>
      </c>
      <c r="D501" s="1">
        <f>Tabelle1[[#This Row],[Gross Sales Price]]/1.18</f>
        <v>34.355932203389834</v>
      </c>
      <c r="E501" s="1">
        <f>Tabelle1[[#This Row],[Gross Sales Price]]*0.12</f>
        <v>4.8647999999999998</v>
      </c>
      <c r="F501" s="1">
        <v>0.4</v>
      </c>
      <c r="G501" s="1">
        <v>3</v>
      </c>
      <c r="H501" s="1">
        <v>2</v>
      </c>
      <c r="I501" s="2">
        <f>Tabelle1[[#This Row],[Base Price]]+Tabelle1[[#This Row],[Total Selling Costs
	]]+Tabelle1[[#This Row],[DHL Costs]]+Tabelle1[[#This Row],[Handling Costs]]+Tabelle1[[#This Row],[Fixed Costs]]</f>
        <v>22.634799999999998</v>
      </c>
      <c r="J501" s="1">
        <f>Tabelle1[[#This Row],[Net Sales Price]]-Tabelle1[[#This Row],[Variable Costs]]</f>
        <v>11.721132203389836</v>
      </c>
    </row>
    <row r="502" spans="1:10" ht="14.25" customHeight="1" x14ac:dyDescent="0.25">
      <c r="A502" s="8" t="s">
        <v>510</v>
      </c>
      <c r="B502" s="1">
        <v>5.58</v>
      </c>
      <c r="C502" s="1">
        <v>38.82</v>
      </c>
      <c r="D502" s="1">
        <f>Tabelle1[[#This Row],[Gross Sales Price]]/1.18</f>
        <v>32.898305084745765</v>
      </c>
      <c r="E502" s="1">
        <f>Tabelle1[[#This Row],[Gross Sales Price]]*0.12</f>
        <v>4.6583999999999994</v>
      </c>
      <c r="F502" s="1">
        <v>0.4</v>
      </c>
      <c r="G502" s="1">
        <v>3</v>
      </c>
      <c r="H502" s="1">
        <v>2</v>
      </c>
      <c r="I502" s="2">
        <f>Tabelle1[[#This Row],[Base Price]]+Tabelle1[[#This Row],[Total Selling Costs
	]]+Tabelle1[[#This Row],[DHL Costs]]+Tabelle1[[#This Row],[Handling Costs]]+Tabelle1[[#This Row],[Fixed Costs]]</f>
        <v>15.638399999999999</v>
      </c>
      <c r="J502" s="1">
        <f>Tabelle1[[#This Row],[Net Sales Price]]-Tabelle1[[#This Row],[Variable Costs]]</f>
        <v>17.259905084745768</v>
      </c>
    </row>
    <row r="503" spans="1:10" ht="14.25" customHeight="1" x14ac:dyDescent="0.25">
      <c r="A503" s="8" t="s">
        <v>511</v>
      </c>
      <c r="B503" s="1">
        <v>18.7</v>
      </c>
      <c r="C503" s="1">
        <v>23.11</v>
      </c>
      <c r="D503" s="1">
        <f>Tabelle1[[#This Row],[Gross Sales Price]]/1.18</f>
        <v>19.584745762711865</v>
      </c>
      <c r="E503" s="1">
        <f>Tabelle1[[#This Row],[Gross Sales Price]]*0.12</f>
        <v>2.7731999999999997</v>
      </c>
      <c r="F503" s="1">
        <v>0.4</v>
      </c>
      <c r="G503" s="1">
        <v>3</v>
      </c>
      <c r="H503" s="1">
        <v>2</v>
      </c>
      <c r="I503" s="2">
        <f>Tabelle1[[#This Row],[Base Price]]+Tabelle1[[#This Row],[Total Selling Costs
	]]+Tabelle1[[#This Row],[DHL Costs]]+Tabelle1[[#This Row],[Handling Costs]]+Tabelle1[[#This Row],[Fixed Costs]]</f>
        <v>26.873199999999997</v>
      </c>
      <c r="J503" s="1">
        <f>Tabelle1[[#This Row],[Net Sales Price]]-Tabelle1[[#This Row],[Variable Costs]]</f>
        <v>-7.288454237288132</v>
      </c>
    </row>
    <row r="504" spans="1:10" ht="14.25" customHeight="1" x14ac:dyDescent="0.25">
      <c r="A504" s="8" t="s">
        <v>512</v>
      </c>
      <c r="B504" s="1">
        <v>15.32</v>
      </c>
      <c r="C504" s="1">
        <v>2.1</v>
      </c>
      <c r="D504" s="1">
        <f>Tabelle1[[#This Row],[Gross Sales Price]]/1.18</f>
        <v>1.7796610169491527</v>
      </c>
      <c r="E504" s="1">
        <f>Tabelle1[[#This Row],[Gross Sales Price]]*0.12</f>
        <v>0.252</v>
      </c>
      <c r="F504" s="1">
        <v>0.4</v>
      </c>
      <c r="G504" s="1">
        <v>3</v>
      </c>
      <c r="H504" s="1">
        <v>2</v>
      </c>
      <c r="I504" s="2">
        <f>Tabelle1[[#This Row],[Base Price]]+Tabelle1[[#This Row],[Total Selling Costs
	]]+Tabelle1[[#This Row],[DHL Costs]]+Tabelle1[[#This Row],[Handling Costs]]+Tabelle1[[#This Row],[Fixed Costs]]</f>
        <v>20.972000000000001</v>
      </c>
      <c r="J504" s="1">
        <f>Tabelle1[[#This Row],[Net Sales Price]]-Tabelle1[[#This Row],[Variable Costs]]</f>
        <v>-19.192338983050849</v>
      </c>
    </row>
    <row r="505" spans="1:10" ht="14.25" customHeight="1" x14ac:dyDescent="0.25">
      <c r="A505" s="8" t="s">
        <v>513</v>
      </c>
      <c r="B505" s="1">
        <v>11.01</v>
      </c>
      <c r="C505" s="1">
        <v>39.97</v>
      </c>
      <c r="D505" s="1">
        <f>Tabelle1[[#This Row],[Gross Sales Price]]/1.18</f>
        <v>33.872881355932208</v>
      </c>
      <c r="E505" s="1">
        <f>Tabelle1[[#This Row],[Gross Sales Price]]*0.12</f>
        <v>4.7963999999999993</v>
      </c>
      <c r="F505" s="1">
        <v>0.4</v>
      </c>
      <c r="G505" s="1">
        <v>3</v>
      </c>
      <c r="H505" s="1">
        <v>2</v>
      </c>
      <c r="I505" s="2">
        <f>Tabelle1[[#This Row],[Base Price]]+Tabelle1[[#This Row],[Total Selling Costs
	]]+Tabelle1[[#This Row],[DHL Costs]]+Tabelle1[[#This Row],[Handling Costs]]+Tabelle1[[#This Row],[Fixed Costs]]</f>
        <v>21.206399999999999</v>
      </c>
      <c r="J505" s="1">
        <f>Tabelle1[[#This Row],[Net Sales Price]]-Tabelle1[[#This Row],[Variable Costs]]</f>
        <v>12.666481355932209</v>
      </c>
    </row>
    <row r="506" spans="1:10" ht="14.25" customHeight="1" x14ac:dyDescent="0.25">
      <c r="A506" s="8" t="s">
        <v>514</v>
      </c>
      <c r="B506" s="1">
        <v>14.45</v>
      </c>
      <c r="C506" s="1">
        <v>40.44</v>
      </c>
      <c r="D506" s="1">
        <f>Tabelle1[[#This Row],[Gross Sales Price]]/1.18</f>
        <v>34.271186440677965</v>
      </c>
      <c r="E506" s="1">
        <f>Tabelle1[[#This Row],[Gross Sales Price]]*0.12</f>
        <v>4.8527999999999993</v>
      </c>
      <c r="F506" s="1">
        <v>0.4</v>
      </c>
      <c r="G506" s="1">
        <v>3</v>
      </c>
      <c r="H506" s="1">
        <v>2</v>
      </c>
      <c r="I506" s="2">
        <f>Tabelle1[[#This Row],[Base Price]]+Tabelle1[[#This Row],[Total Selling Costs
	]]+Tabelle1[[#This Row],[DHL Costs]]+Tabelle1[[#This Row],[Handling Costs]]+Tabelle1[[#This Row],[Fixed Costs]]</f>
        <v>24.702799999999996</v>
      </c>
      <c r="J506" s="1">
        <f>Tabelle1[[#This Row],[Net Sales Price]]-Tabelle1[[#This Row],[Variable Costs]]</f>
        <v>9.5683864406779691</v>
      </c>
    </row>
    <row r="507" spans="1:10" ht="14.25" customHeight="1" x14ac:dyDescent="0.25">
      <c r="A507" s="8" t="s">
        <v>515</v>
      </c>
      <c r="B507" s="1">
        <v>9.64</v>
      </c>
      <c r="C507" s="1">
        <v>34.700000000000003</v>
      </c>
      <c r="D507" s="1">
        <f>Tabelle1[[#This Row],[Gross Sales Price]]/1.18</f>
        <v>29.406779661016952</v>
      </c>
      <c r="E507" s="1">
        <f>Tabelle1[[#This Row],[Gross Sales Price]]*0.12</f>
        <v>4.1640000000000006</v>
      </c>
      <c r="F507" s="1">
        <v>0.4</v>
      </c>
      <c r="G507" s="1">
        <v>3</v>
      </c>
      <c r="H507" s="1">
        <v>2</v>
      </c>
      <c r="I507" s="2">
        <f>Tabelle1[[#This Row],[Base Price]]+Tabelle1[[#This Row],[Total Selling Costs
	]]+Tabelle1[[#This Row],[DHL Costs]]+Tabelle1[[#This Row],[Handling Costs]]+Tabelle1[[#This Row],[Fixed Costs]]</f>
        <v>19.204000000000001</v>
      </c>
      <c r="J507" s="1">
        <f>Tabelle1[[#This Row],[Net Sales Price]]-Tabelle1[[#This Row],[Variable Costs]]</f>
        <v>10.202779661016951</v>
      </c>
    </row>
    <row r="508" spans="1:10" ht="14.25" customHeight="1" x14ac:dyDescent="0.25">
      <c r="A508" s="8" t="s">
        <v>516</v>
      </c>
      <c r="B508" s="1">
        <v>19.239999999999998</v>
      </c>
      <c r="C508" s="1">
        <v>24.24</v>
      </c>
      <c r="D508" s="1">
        <f>Tabelle1[[#This Row],[Gross Sales Price]]/1.18</f>
        <v>20.542372881355931</v>
      </c>
      <c r="E508" s="1">
        <f>Tabelle1[[#This Row],[Gross Sales Price]]*0.12</f>
        <v>2.9087999999999998</v>
      </c>
      <c r="F508" s="1">
        <v>0.4</v>
      </c>
      <c r="G508" s="1">
        <v>3</v>
      </c>
      <c r="H508" s="1">
        <v>2</v>
      </c>
      <c r="I508" s="2">
        <f>Tabelle1[[#This Row],[Base Price]]+Tabelle1[[#This Row],[Total Selling Costs
	]]+Tabelle1[[#This Row],[DHL Costs]]+Tabelle1[[#This Row],[Handling Costs]]+Tabelle1[[#This Row],[Fixed Costs]]</f>
        <v>27.548799999999996</v>
      </c>
      <c r="J508" s="1">
        <f>Tabelle1[[#This Row],[Net Sales Price]]-Tabelle1[[#This Row],[Variable Costs]]</f>
        <v>-7.0064271186440656</v>
      </c>
    </row>
    <row r="509" spans="1:10" ht="14.25" customHeight="1" x14ac:dyDescent="0.25">
      <c r="A509" s="8" t="s">
        <v>517</v>
      </c>
      <c r="B509" s="1">
        <v>1.31</v>
      </c>
      <c r="C509" s="1">
        <v>36.69</v>
      </c>
      <c r="D509" s="1">
        <f>Tabelle1[[#This Row],[Gross Sales Price]]/1.18</f>
        <v>31.093220338983052</v>
      </c>
      <c r="E509" s="1">
        <f>Tabelle1[[#This Row],[Gross Sales Price]]*0.12</f>
        <v>4.4027999999999992</v>
      </c>
      <c r="F509" s="1">
        <v>0.4</v>
      </c>
      <c r="G509" s="1">
        <v>3</v>
      </c>
      <c r="H509" s="1">
        <v>2</v>
      </c>
      <c r="I509" s="2">
        <f>Tabelle1[[#This Row],[Base Price]]+Tabelle1[[#This Row],[Total Selling Costs
	]]+Tabelle1[[#This Row],[DHL Costs]]+Tabelle1[[#This Row],[Handling Costs]]+Tabelle1[[#This Row],[Fixed Costs]]</f>
        <v>11.1128</v>
      </c>
      <c r="J509" s="1">
        <f>Tabelle1[[#This Row],[Net Sales Price]]-Tabelle1[[#This Row],[Variable Costs]]</f>
        <v>19.980420338983052</v>
      </c>
    </row>
    <row r="510" spans="1:10" ht="14.25" customHeight="1" x14ac:dyDescent="0.25">
      <c r="A510" s="8" t="s">
        <v>518</v>
      </c>
      <c r="B510" s="1">
        <v>6.17</v>
      </c>
      <c r="C510" s="1">
        <v>12.62</v>
      </c>
      <c r="D510" s="1">
        <f>Tabelle1[[#This Row],[Gross Sales Price]]/1.18</f>
        <v>10.694915254237287</v>
      </c>
      <c r="E510" s="1">
        <f>Tabelle1[[#This Row],[Gross Sales Price]]*0.12</f>
        <v>1.5143999999999997</v>
      </c>
      <c r="F510" s="1">
        <v>0.4</v>
      </c>
      <c r="G510" s="1">
        <v>3</v>
      </c>
      <c r="H510" s="1">
        <v>2</v>
      </c>
      <c r="I510" s="2">
        <f>Tabelle1[[#This Row],[Base Price]]+Tabelle1[[#This Row],[Total Selling Costs
	]]+Tabelle1[[#This Row],[DHL Costs]]+Tabelle1[[#This Row],[Handling Costs]]+Tabelle1[[#This Row],[Fixed Costs]]</f>
        <v>13.0844</v>
      </c>
      <c r="J510" s="1">
        <f>Tabelle1[[#This Row],[Net Sales Price]]-Tabelle1[[#This Row],[Variable Costs]]</f>
        <v>-2.3894847457627133</v>
      </c>
    </row>
    <row r="511" spans="1:10" ht="14.25" customHeight="1" x14ac:dyDescent="0.25">
      <c r="A511" s="8" t="s">
        <v>519</v>
      </c>
      <c r="B511" s="1">
        <v>2.66</v>
      </c>
      <c r="C511" s="1">
        <v>26.96</v>
      </c>
      <c r="D511" s="1">
        <f>Tabelle1[[#This Row],[Gross Sales Price]]/1.18</f>
        <v>22.847457627118647</v>
      </c>
      <c r="E511" s="1">
        <f>Tabelle1[[#This Row],[Gross Sales Price]]*0.12</f>
        <v>3.2351999999999999</v>
      </c>
      <c r="F511" s="1">
        <v>0.4</v>
      </c>
      <c r="G511" s="1">
        <v>3</v>
      </c>
      <c r="H511" s="1">
        <v>2</v>
      </c>
      <c r="I511" s="2">
        <f>Tabelle1[[#This Row],[Base Price]]+Tabelle1[[#This Row],[Total Selling Costs
	]]+Tabelle1[[#This Row],[DHL Costs]]+Tabelle1[[#This Row],[Handling Costs]]+Tabelle1[[#This Row],[Fixed Costs]]</f>
        <v>11.295199999999999</v>
      </c>
      <c r="J511" s="1">
        <f>Tabelle1[[#This Row],[Net Sales Price]]-Tabelle1[[#This Row],[Variable Costs]]</f>
        <v>11.552257627118648</v>
      </c>
    </row>
    <row r="512" spans="1:10" ht="14.25" customHeight="1" x14ac:dyDescent="0.25">
      <c r="A512" s="8" t="s">
        <v>520</v>
      </c>
      <c r="B512" s="1">
        <v>2.09</v>
      </c>
      <c r="C512" s="1">
        <v>38.1</v>
      </c>
      <c r="D512" s="1">
        <f>Tabelle1[[#This Row],[Gross Sales Price]]/1.18</f>
        <v>32.288135593220339</v>
      </c>
      <c r="E512" s="1">
        <f>Tabelle1[[#This Row],[Gross Sales Price]]*0.12</f>
        <v>4.5720000000000001</v>
      </c>
      <c r="F512" s="1">
        <v>0.4</v>
      </c>
      <c r="G512" s="1">
        <v>3</v>
      </c>
      <c r="H512" s="1">
        <v>2</v>
      </c>
      <c r="I512" s="2">
        <f>Tabelle1[[#This Row],[Base Price]]+Tabelle1[[#This Row],[Total Selling Costs
	]]+Tabelle1[[#This Row],[DHL Costs]]+Tabelle1[[#This Row],[Handling Costs]]+Tabelle1[[#This Row],[Fixed Costs]]</f>
        <v>12.061999999999999</v>
      </c>
      <c r="J512" s="1">
        <f>Tabelle1[[#This Row],[Net Sales Price]]-Tabelle1[[#This Row],[Variable Costs]]</f>
        <v>20.226135593220341</v>
      </c>
    </row>
    <row r="513" spans="1:10" ht="14.25" customHeight="1" x14ac:dyDescent="0.25">
      <c r="A513" s="8" t="s">
        <v>521</v>
      </c>
      <c r="B513" s="1">
        <v>17</v>
      </c>
      <c r="C513" s="1">
        <v>25.75</v>
      </c>
      <c r="D513" s="1">
        <f>Tabelle1[[#This Row],[Gross Sales Price]]/1.18</f>
        <v>21.822033898305087</v>
      </c>
      <c r="E513" s="1">
        <f>Tabelle1[[#This Row],[Gross Sales Price]]*0.12</f>
        <v>3.09</v>
      </c>
      <c r="F513" s="1">
        <v>0.4</v>
      </c>
      <c r="G513" s="1">
        <v>3</v>
      </c>
      <c r="H513" s="1">
        <v>2</v>
      </c>
      <c r="I513" s="2">
        <f>Tabelle1[[#This Row],[Base Price]]+Tabelle1[[#This Row],[Total Selling Costs
	]]+Tabelle1[[#This Row],[DHL Costs]]+Tabelle1[[#This Row],[Handling Costs]]+Tabelle1[[#This Row],[Fixed Costs]]</f>
        <v>25.49</v>
      </c>
      <c r="J513" s="1">
        <f>Tabelle1[[#This Row],[Net Sales Price]]-Tabelle1[[#This Row],[Variable Costs]]</f>
        <v>-3.6679661016949119</v>
      </c>
    </row>
    <row r="514" spans="1:10" ht="14.25" customHeight="1" x14ac:dyDescent="0.25">
      <c r="A514" s="8" t="s">
        <v>522</v>
      </c>
      <c r="B514" s="1">
        <v>6.96</v>
      </c>
      <c r="C514" s="1">
        <v>20.16</v>
      </c>
      <c r="D514" s="1">
        <f>Tabelle1[[#This Row],[Gross Sales Price]]/1.18</f>
        <v>17.084745762711865</v>
      </c>
      <c r="E514" s="1">
        <f>Tabelle1[[#This Row],[Gross Sales Price]]*0.12</f>
        <v>2.4192</v>
      </c>
      <c r="F514" s="1">
        <v>0.4</v>
      </c>
      <c r="G514" s="1">
        <v>3</v>
      </c>
      <c r="H514" s="1">
        <v>2</v>
      </c>
      <c r="I514" s="2">
        <f>Tabelle1[[#This Row],[Base Price]]+Tabelle1[[#This Row],[Total Selling Costs
	]]+Tabelle1[[#This Row],[DHL Costs]]+Tabelle1[[#This Row],[Handling Costs]]+Tabelle1[[#This Row],[Fixed Costs]]</f>
        <v>14.779200000000001</v>
      </c>
      <c r="J514" s="1">
        <f>Tabelle1[[#This Row],[Net Sales Price]]-Tabelle1[[#This Row],[Variable Costs]]</f>
        <v>2.3055457627118638</v>
      </c>
    </row>
    <row r="515" spans="1:10" ht="14.25" customHeight="1" x14ac:dyDescent="0.25">
      <c r="A515" s="8" t="s">
        <v>523</v>
      </c>
      <c r="B515" s="1">
        <v>6.57</v>
      </c>
      <c r="C515" s="1">
        <v>30.56</v>
      </c>
      <c r="D515" s="1">
        <f>Tabelle1[[#This Row],[Gross Sales Price]]/1.18</f>
        <v>25.898305084745765</v>
      </c>
      <c r="E515" s="1">
        <f>Tabelle1[[#This Row],[Gross Sales Price]]*0.12</f>
        <v>3.6671999999999998</v>
      </c>
      <c r="F515" s="1">
        <v>0.4</v>
      </c>
      <c r="G515" s="1">
        <v>3</v>
      </c>
      <c r="H515" s="1">
        <v>2</v>
      </c>
      <c r="I515" s="2">
        <f>Tabelle1[[#This Row],[Base Price]]+Tabelle1[[#This Row],[Total Selling Costs
	]]+Tabelle1[[#This Row],[DHL Costs]]+Tabelle1[[#This Row],[Handling Costs]]+Tabelle1[[#This Row],[Fixed Costs]]</f>
        <v>15.6372</v>
      </c>
      <c r="J515" s="1">
        <f>Tabelle1[[#This Row],[Net Sales Price]]-Tabelle1[[#This Row],[Variable Costs]]</f>
        <v>10.261105084745765</v>
      </c>
    </row>
    <row r="516" spans="1:10" ht="14.25" customHeight="1" x14ac:dyDescent="0.25">
      <c r="A516" s="8" t="s">
        <v>524</v>
      </c>
      <c r="B516" s="1">
        <v>3.39</v>
      </c>
      <c r="C516" s="1">
        <v>19.41</v>
      </c>
      <c r="D516" s="1">
        <f>Tabelle1[[#This Row],[Gross Sales Price]]/1.18</f>
        <v>16.449152542372882</v>
      </c>
      <c r="E516" s="1">
        <f>Tabelle1[[#This Row],[Gross Sales Price]]*0.12</f>
        <v>2.3291999999999997</v>
      </c>
      <c r="F516" s="1">
        <v>0.4</v>
      </c>
      <c r="G516" s="1">
        <v>3</v>
      </c>
      <c r="H516" s="1">
        <v>2</v>
      </c>
      <c r="I516" s="2">
        <f>Tabelle1[[#This Row],[Base Price]]+Tabelle1[[#This Row],[Total Selling Costs
	]]+Tabelle1[[#This Row],[DHL Costs]]+Tabelle1[[#This Row],[Handling Costs]]+Tabelle1[[#This Row],[Fixed Costs]]</f>
        <v>11.119200000000001</v>
      </c>
      <c r="J516" s="1">
        <f>Tabelle1[[#This Row],[Net Sales Price]]-Tabelle1[[#This Row],[Variable Costs]]</f>
        <v>5.3299525423728813</v>
      </c>
    </row>
    <row r="517" spans="1:10" ht="14.25" customHeight="1" x14ac:dyDescent="0.25">
      <c r="A517" s="8" t="s">
        <v>525</v>
      </c>
      <c r="B517" s="1">
        <v>7.72</v>
      </c>
      <c r="C517" s="1">
        <v>33.44</v>
      </c>
      <c r="D517" s="1">
        <f>Tabelle1[[#This Row],[Gross Sales Price]]/1.18</f>
        <v>28.338983050847457</v>
      </c>
      <c r="E517" s="1">
        <f>Tabelle1[[#This Row],[Gross Sales Price]]*0.12</f>
        <v>4.0127999999999995</v>
      </c>
      <c r="F517" s="1">
        <v>0.4</v>
      </c>
      <c r="G517" s="1">
        <v>3</v>
      </c>
      <c r="H517" s="1">
        <v>2</v>
      </c>
      <c r="I517" s="2">
        <f>Tabelle1[[#This Row],[Base Price]]+Tabelle1[[#This Row],[Total Selling Costs
	]]+Tabelle1[[#This Row],[DHL Costs]]+Tabelle1[[#This Row],[Handling Costs]]+Tabelle1[[#This Row],[Fixed Costs]]</f>
        <v>17.132799999999996</v>
      </c>
      <c r="J517" s="1">
        <f>Tabelle1[[#This Row],[Net Sales Price]]-Tabelle1[[#This Row],[Variable Costs]]</f>
        <v>11.206183050847461</v>
      </c>
    </row>
    <row r="518" spans="1:10" ht="14.25" customHeight="1" x14ac:dyDescent="0.25">
      <c r="A518" s="8" t="s">
        <v>526</v>
      </c>
      <c r="B518" s="1">
        <v>4.4400000000000004</v>
      </c>
      <c r="C518" s="1">
        <v>31.43</v>
      </c>
      <c r="D518" s="1">
        <f>Tabelle1[[#This Row],[Gross Sales Price]]/1.18</f>
        <v>26.635593220338983</v>
      </c>
      <c r="E518" s="1">
        <f>Tabelle1[[#This Row],[Gross Sales Price]]*0.12</f>
        <v>3.7715999999999998</v>
      </c>
      <c r="F518" s="1">
        <v>0.4</v>
      </c>
      <c r="G518" s="1">
        <v>3</v>
      </c>
      <c r="H518" s="1">
        <v>2</v>
      </c>
      <c r="I518" s="2">
        <f>Tabelle1[[#This Row],[Base Price]]+Tabelle1[[#This Row],[Total Selling Costs
	]]+Tabelle1[[#This Row],[DHL Costs]]+Tabelle1[[#This Row],[Handling Costs]]+Tabelle1[[#This Row],[Fixed Costs]]</f>
        <v>13.611600000000001</v>
      </c>
      <c r="J518" s="1">
        <f>Tabelle1[[#This Row],[Net Sales Price]]-Tabelle1[[#This Row],[Variable Costs]]</f>
        <v>13.023993220338982</v>
      </c>
    </row>
    <row r="519" spans="1:10" ht="14.25" customHeight="1" x14ac:dyDescent="0.25">
      <c r="A519" s="8" t="s">
        <v>527</v>
      </c>
      <c r="B519" s="1">
        <v>17.399999999999999</v>
      </c>
      <c r="C519" s="1">
        <v>15.06</v>
      </c>
      <c r="D519" s="1">
        <f>Tabelle1[[#This Row],[Gross Sales Price]]/1.18</f>
        <v>12.76271186440678</v>
      </c>
      <c r="E519" s="1">
        <f>Tabelle1[[#This Row],[Gross Sales Price]]*0.12</f>
        <v>1.8071999999999999</v>
      </c>
      <c r="F519" s="1">
        <v>0.4</v>
      </c>
      <c r="G519" s="1">
        <v>3</v>
      </c>
      <c r="H519" s="1">
        <v>2</v>
      </c>
      <c r="I519" s="2">
        <f>Tabelle1[[#This Row],[Base Price]]+Tabelle1[[#This Row],[Total Selling Costs
	]]+Tabelle1[[#This Row],[DHL Costs]]+Tabelle1[[#This Row],[Handling Costs]]+Tabelle1[[#This Row],[Fixed Costs]]</f>
        <v>24.607199999999999</v>
      </c>
      <c r="J519" s="1">
        <f>Tabelle1[[#This Row],[Net Sales Price]]-Tabelle1[[#This Row],[Variable Costs]]</f>
        <v>-11.844488135593219</v>
      </c>
    </row>
    <row r="520" spans="1:10" ht="14.25" customHeight="1" x14ac:dyDescent="0.25">
      <c r="A520" s="8" t="s">
        <v>528</v>
      </c>
      <c r="B520" s="1">
        <v>2.54</v>
      </c>
      <c r="C520" s="1">
        <v>16.68</v>
      </c>
      <c r="D520" s="1">
        <f>Tabelle1[[#This Row],[Gross Sales Price]]/1.18</f>
        <v>14.135593220338983</v>
      </c>
      <c r="E520" s="1">
        <f>Tabelle1[[#This Row],[Gross Sales Price]]*0.12</f>
        <v>2.0015999999999998</v>
      </c>
      <c r="F520" s="1">
        <v>0.4</v>
      </c>
      <c r="G520" s="1">
        <v>3</v>
      </c>
      <c r="H520" s="1">
        <v>2</v>
      </c>
      <c r="I520" s="2">
        <f>Tabelle1[[#This Row],[Base Price]]+Tabelle1[[#This Row],[Total Selling Costs
	]]+Tabelle1[[#This Row],[DHL Costs]]+Tabelle1[[#This Row],[Handling Costs]]+Tabelle1[[#This Row],[Fixed Costs]]</f>
        <v>9.9415999999999993</v>
      </c>
      <c r="J520" s="1">
        <f>Tabelle1[[#This Row],[Net Sales Price]]-Tabelle1[[#This Row],[Variable Costs]]</f>
        <v>4.1939932203389834</v>
      </c>
    </row>
    <row r="521" spans="1:10" ht="14.25" customHeight="1" x14ac:dyDescent="0.25">
      <c r="A521" s="8" t="s">
        <v>529</v>
      </c>
      <c r="B521" s="1">
        <v>8.74</v>
      </c>
      <c r="C521" s="1">
        <v>7.5</v>
      </c>
      <c r="D521" s="1">
        <f>Tabelle1[[#This Row],[Gross Sales Price]]/1.18</f>
        <v>6.3559322033898304</v>
      </c>
      <c r="E521" s="1">
        <f>Tabelle1[[#This Row],[Gross Sales Price]]*0.12</f>
        <v>0.89999999999999991</v>
      </c>
      <c r="F521" s="1">
        <v>0.4</v>
      </c>
      <c r="G521" s="1">
        <v>3</v>
      </c>
      <c r="H521" s="1">
        <v>2</v>
      </c>
      <c r="I521" s="2">
        <f>Tabelle1[[#This Row],[Base Price]]+Tabelle1[[#This Row],[Total Selling Costs
	]]+Tabelle1[[#This Row],[DHL Costs]]+Tabelle1[[#This Row],[Handling Costs]]+Tabelle1[[#This Row],[Fixed Costs]]</f>
        <v>15.040000000000001</v>
      </c>
      <c r="J521" s="1">
        <f>Tabelle1[[#This Row],[Net Sales Price]]-Tabelle1[[#This Row],[Variable Costs]]</f>
        <v>-8.6840677966101705</v>
      </c>
    </row>
    <row r="522" spans="1:10" ht="14.25" customHeight="1" x14ac:dyDescent="0.25">
      <c r="A522" s="8" t="s">
        <v>530</v>
      </c>
      <c r="B522" s="1">
        <v>14</v>
      </c>
      <c r="C522" s="1">
        <v>27.2</v>
      </c>
      <c r="D522" s="1">
        <f>Tabelle1[[#This Row],[Gross Sales Price]]/1.18</f>
        <v>23.050847457627118</v>
      </c>
      <c r="E522" s="1">
        <f>Tabelle1[[#This Row],[Gross Sales Price]]*0.12</f>
        <v>3.2639999999999998</v>
      </c>
      <c r="F522" s="1">
        <v>0.4</v>
      </c>
      <c r="G522" s="1">
        <v>3</v>
      </c>
      <c r="H522" s="1">
        <v>2</v>
      </c>
      <c r="I522" s="2">
        <f>Tabelle1[[#This Row],[Base Price]]+Tabelle1[[#This Row],[Total Selling Costs
	]]+Tabelle1[[#This Row],[DHL Costs]]+Tabelle1[[#This Row],[Handling Costs]]+Tabelle1[[#This Row],[Fixed Costs]]</f>
        <v>22.663999999999998</v>
      </c>
      <c r="J522" s="1">
        <f>Tabelle1[[#This Row],[Net Sales Price]]-Tabelle1[[#This Row],[Variable Costs]]</f>
        <v>0.3868474576271197</v>
      </c>
    </row>
    <row r="523" spans="1:10" ht="14.25" customHeight="1" x14ac:dyDescent="0.25">
      <c r="A523" s="8" t="s">
        <v>531</v>
      </c>
      <c r="B523" s="1">
        <v>11.32</v>
      </c>
      <c r="C523" s="1">
        <v>33.75</v>
      </c>
      <c r="D523" s="1">
        <f>Tabelle1[[#This Row],[Gross Sales Price]]/1.18</f>
        <v>28.601694915254239</v>
      </c>
      <c r="E523" s="1">
        <f>Tabelle1[[#This Row],[Gross Sales Price]]*0.12</f>
        <v>4.05</v>
      </c>
      <c r="F523" s="1">
        <v>0.4</v>
      </c>
      <c r="G523" s="1">
        <v>3</v>
      </c>
      <c r="H523" s="1">
        <v>2</v>
      </c>
      <c r="I523" s="2">
        <f>Tabelle1[[#This Row],[Base Price]]+Tabelle1[[#This Row],[Total Selling Costs
	]]+Tabelle1[[#This Row],[DHL Costs]]+Tabelle1[[#This Row],[Handling Costs]]+Tabelle1[[#This Row],[Fixed Costs]]</f>
        <v>20.77</v>
      </c>
      <c r="J523" s="1">
        <f>Tabelle1[[#This Row],[Net Sales Price]]-Tabelle1[[#This Row],[Variable Costs]]</f>
        <v>7.8316949152542392</v>
      </c>
    </row>
    <row r="524" spans="1:10" ht="14.25" customHeight="1" x14ac:dyDescent="0.25">
      <c r="A524" s="8" t="s">
        <v>532</v>
      </c>
      <c r="B524" s="1">
        <v>10.47</v>
      </c>
      <c r="C524" s="1">
        <v>37.28</v>
      </c>
      <c r="D524" s="1">
        <f>Tabelle1[[#This Row],[Gross Sales Price]]/1.18</f>
        <v>31.593220338983052</v>
      </c>
      <c r="E524" s="1">
        <f>Tabelle1[[#This Row],[Gross Sales Price]]*0.12</f>
        <v>4.4736000000000002</v>
      </c>
      <c r="F524" s="1">
        <v>0.4</v>
      </c>
      <c r="G524" s="1">
        <v>3</v>
      </c>
      <c r="H524" s="1">
        <v>2</v>
      </c>
      <c r="I524" s="2">
        <f>Tabelle1[[#This Row],[Base Price]]+Tabelle1[[#This Row],[Total Selling Costs
	]]+Tabelle1[[#This Row],[DHL Costs]]+Tabelle1[[#This Row],[Handling Costs]]+Tabelle1[[#This Row],[Fixed Costs]]</f>
        <v>20.343599999999999</v>
      </c>
      <c r="J524" s="1">
        <f>Tabelle1[[#This Row],[Net Sales Price]]-Tabelle1[[#This Row],[Variable Costs]]</f>
        <v>11.249620338983053</v>
      </c>
    </row>
    <row r="525" spans="1:10" ht="14.25" customHeight="1" x14ac:dyDescent="0.25">
      <c r="A525" s="8" t="s">
        <v>533</v>
      </c>
      <c r="B525" s="1">
        <v>8.58</v>
      </c>
      <c r="C525" s="1">
        <v>28.99</v>
      </c>
      <c r="D525" s="1">
        <f>Tabelle1[[#This Row],[Gross Sales Price]]/1.18</f>
        <v>24.567796610169491</v>
      </c>
      <c r="E525" s="1">
        <f>Tabelle1[[#This Row],[Gross Sales Price]]*0.12</f>
        <v>3.4787999999999997</v>
      </c>
      <c r="F525" s="1">
        <v>0.4</v>
      </c>
      <c r="G525" s="1">
        <v>3</v>
      </c>
      <c r="H525" s="1">
        <v>2</v>
      </c>
      <c r="I525" s="2">
        <f>Tabelle1[[#This Row],[Base Price]]+Tabelle1[[#This Row],[Total Selling Costs
	]]+Tabelle1[[#This Row],[DHL Costs]]+Tabelle1[[#This Row],[Handling Costs]]+Tabelle1[[#This Row],[Fixed Costs]]</f>
        <v>17.458799999999997</v>
      </c>
      <c r="J525" s="1">
        <f>Tabelle1[[#This Row],[Net Sales Price]]-Tabelle1[[#This Row],[Variable Costs]]</f>
        <v>7.1089966101694948</v>
      </c>
    </row>
    <row r="526" spans="1:10" ht="14.25" customHeight="1" x14ac:dyDescent="0.25">
      <c r="A526" s="8" t="s">
        <v>534</v>
      </c>
      <c r="B526" s="1">
        <v>10.93</v>
      </c>
      <c r="C526" s="1">
        <v>24.44</v>
      </c>
      <c r="D526" s="1">
        <f>Tabelle1[[#This Row],[Gross Sales Price]]/1.18</f>
        <v>20.711864406779664</v>
      </c>
      <c r="E526" s="1">
        <f>Tabelle1[[#This Row],[Gross Sales Price]]*0.12</f>
        <v>2.9327999999999999</v>
      </c>
      <c r="F526" s="1">
        <v>0.4</v>
      </c>
      <c r="G526" s="1">
        <v>3</v>
      </c>
      <c r="H526" s="1">
        <v>2</v>
      </c>
      <c r="I526" s="2">
        <f>Tabelle1[[#This Row],[Base Price]]+Tabelle1[[#This Row],[Total Selling Costs
	]]+Tabelle1[[#This Row],[DHL Costs]]+Tabelle1[[#This Row],[Handling Costs]]+Tabelle1[[#This Row],[Fixed Costs]]</f>
        <v>19.262799999999999</v>
      </c>
      <c r="J526" s="1">
        <f>Tabelle1[[#This Row],[Net Sales Price]]-Tabelle1[[#This Row],[Variable Costs]]</f>
        <v>1.4490644067796659</v>
      </c>
    </row>
    <row r="527" spans="1:10" ht="14.25" customHeight="1" x14ac:dyDescent="0.25">
      <c r="A527" s="8" t="s">
        <v>535</v>
      </c>
      <c r="B527" s="1">
        <v>10.92</v>
      </c>
      <c r="C527" s="1">
        <v>32.450000000000003</v>
      </c>
      <c r="D527" s="1">
        <f>Tabelle1[[#This Row],[Gross Sales Price]]/1.18</f>
        <v>27.500000000000004</v>
      </c>
      <c r="E527" s="1">
        <f>Tabelle1[[#This Row],[Gross Sales Price]]*0.12</f>
        <v>3.8940000000000001</v>
      </c>
      <c r="F527" s="1">
        <v>0.4</v>
      </c>
      <c r="G527" s="1">
        <v>3</v>
      </c>
      <c r="H527" s="1">
        <v>2</v>
      </c>
      <c r="I527" s="2">
        <f>Tabelle1[[#This Row],[Base Price]]+Tabelle1[[#This Row],[Total Selling Costs
	]]+Tabelle1[[#This Row],[DHL Costs]]+Tabelle1[[#This Row],[Handling Costs]]+Tabelle1[[#This Row],[Fixed Costs]]</f>
        <v>20.213999999999999</v>
      </c>
      <c r="J527" s="1">
        <f>Tabelle1[[#This Row],[Net Sales Price]]-Tabelle1[[#This Row],[Variable Costs]]</f>
        <v>7.2860000000000049</v>
      </c>
    </row>
    <row r="528" spans="1:10" ht="14.25" customHeight="1" x14ac:dyDescent="0.25">
      <c r="A528" s="8" t="s">
        <v>536</v>
      </c>
      <c r="B528" s="1">
        <v>8.0399999999999991</v>
      </c>
      <c r="C528" s="1">
        <v>3.21</v>
      </c>
      <c r="D528" s="1">
        <f>Tabelle1[[#This Row],[Gross Sales Price]]/1.18</f>
        <v>2.7203389830508478</v>
      </c>
      <c r="E528" s="1">
        <f>Tabelle1[[#This Row],[Gross Sales Price]]*0.12</f>
        <v>0.38519999999999999</v>
      </c>
      <c r="F528" s="1">
        <v>0.4</v>
      </c>
      <c r="G528" s="1">
        <v>3</v>
      </c>
      <c r="H528" s="1">
        <v>2</v>
      </c>
      <c r="I528" s="2">
        <f>Tabelle1[[#This Row],[Base Price]]+Tabelle1[[#This Row],[Total Selling Costs
	]]+Tabelle1[[#This Row],[DHL Costs]]+Tabelle1[[#This Row],[Handling Costs]]+Tabelle1[[#This Row],[Fixed Costs]]</f>
        <v>13.825199999999999</v>
      </c>
      <c r="J528" s="1">
        <f>Tabelle1[[#This Row],[Net Sales Price]]-Tabelle1[[#This Row],[Variable Costs]]</f>
        <v>-11.104861016949151</v>
      </c>
    </row>
    <row r="529" spans="1:10" ht="14.25" customHeight="1" x14ac:dyDescent="0.25">
      <c r="A529" s="8" t="s">
        <v>537</v>
      </c>
      <c r="B529" s="1">
        <v>13.17</v>
      </c>
      <c r="C529" s="1">
        <v>11.94</v>
      </c>
      <c r="D529" s="1">
        <f>Tabelle1[[#This Row],[Gross Sales Price]]/1.18</f>
        <v>10.118644067796611</v>
      </c>
      <c r="E529" s="1">
        <f>Tabelle1[[#This Row],[Gross Sales Price]]*0.12</f>
        <v>1.4327999999999999</v>
      </c>
      <c r="F529" s="1">
        <v>0.4</v>
      </c>
      <c r="G529" s="1">
        <v>3</v>
      </c>
      <c r="H529" s="1">
        <v>2</v>
      </c>
      <c r="I529" s="2">
        <f>Tabelle1[[#This Row],[Base Price]]+Tabelle1[[#This Row],[Total Selling Costs
	]]+Tabelle1[[#This Row],[DHL Costs]]+Tabelle1[[#This Row],[Handling Costs]]+Tabelle1[[#This Row],[Fixed Costs]]</f>
        <v>20.002800000000001</v>
      </c>
      <c r="J529" s="1">
        <f>Tabelle1[[#This Row],[Net Sales Price]]-Tabelle1[[#This Row],[Variable Costs]]</f>
        <v>-9.8841559322033898</v>
      </c>
    </row>
    <row r="530" spans="1:10" ht="14.25" customHeight="1" x14ac:dyDescent="0.25">
      <c r="A530" s="8" t="s">
        <v>538</v>
      </c>
      <c r="B530" s="1">
        <v>7.38</v>
      </c>
      <c r="C530" s="1">
        <v>31.23</v>
      </c>
      <c r="D530" s="1">
        <f>Tabelle1[[#This Row],[Gross Sales Price]]/1.18</f>
        <v>26.466101694915256</v>
      </c>
      <c r="E530" s="1">
        <f>Tabelle1[[#This Row],[Gross Sales Price]]*0.12</f>
        <v>3.7475999999999998</v>
      </c>
      <c r="F530" s="1">
        <v>0.4</v>
      </c>
      <c r="G530" s="1">
        <v>3</v>
      </c>
      <c r="H530" s="1">
        <v>2</v>
      </c>
      <c r="I530" s="2">
        <f>Tabelle1[[#This Row],[Base Price]]+Tabelle1[[#This Row],[Total Selling Costs
	]]+Tabelle1[[#This Row],[DHL Costs]]+Tabelle1[[#This Row],[Handling Costs]]+Tabelle1[[#This Row],[Fixed Costs]]</f>
        <v>16.5276</v>
      </c>
      <c r="J530" s="1">
        <f>Tabelle1[[#This Row],[Net Sales Price]]-Tabelle1[[#This Row],[Variable Costs]]</f>
        <v>9.9385016949152565</v>
      </c>
    </row>
    <row r="531" spans="1:10" ht="14.25" customHeight="1" x14ac:dyDescent="0.25">
      <c r="A531" s="8" t="s">
        <v>539</v>
      </c>
      <c r="B531" s="1">
        <v>4.42</v>
      </c>
      <c r="C531" s="1">
        <v>24.57</v>
      </c>
      <c r="D531" s="1">
        <f>Tabelle1[[#This Row],[Gross Sales Price]]/1.18</f>
        <v>20.822033898305087</v>
      </c>
      <c r="E531" s="1">
        <f>Tabelle1[[#This Row],[Gross Sales Price]]*0.12</f>
        <v>2.9483999999999999</v>
      </c>
      <c r="F531" s="1">
        <v>0.4</v>
      </c>
      <c r="G531" s="1">
        <v>3</v>
      </c>
      <c r="H531" s="1">
        <v>2</v>
      </c>
      <c r="I531" s="2">
        <f>Tabelle1[[#This Row],[Base Price]]+Tabelle1[[#This Row],[Total Selling Costs
	]]+Tabelle1[[#This Row],[DHL Costs]]+Tabelle1[[#This Row],[Handling Costs]]+Tabelle1[[#This Row],[Fixed Costs]]</f>
        <v>12.7684</v>
      </c>
      <c r="J531" s="1">
        <f>Tabelle1[[#This Row],[Net Sales Price]]-Tabelle1[[#This Row],[Variable Costs]]</f>
        <v>8.0536338983050868</v>
      </c>
    </row>
    <row r="532" spans="1:10" ht="14.25" customHeight="1" x14ac:dyDescent="0.25">
      <c r="A532" s="8" t="s">
        <v>540</v>
      </c>
      <c r="B532" s="1">
        <v>13.55</v>
      </c>
      <c r="C532" s="1">
        <v>14.04</v>
      </c>
      <c r="D532" s="1">
        <f>Tabelle1[[#This Row],[Gross Sales Price]]/1.18</f>
        <v>11.898305084745763</v>
      </c>
      <c r="E532" s="1">
        <f>Tabelle1[[#This Row],[Gross Sales Price]]*0.12</f>
        <v>1.6847999999999999</v>
      </c>
      <c r="F532" s="1">
        <v>0.4</v>
      </c>
      <c r="G532" s="1">
        <v>3</v>
      </c>
      <c r="H532" s="1">
        <v>2</v>
      </c>
      <c r="I532" s="2">
        <f>Tabelle1[[#This Row],[Base Price]]+Tabelle1[[#This Row],[Total Selling Costs
	]]+Tabelle1[[#This Row],[DHL Costs]]+Tabelle1[[#This Row],[Handling Costs]]+Tabelle1[[#This Row],[Fixed Costs]]</f>
        <v>20.634799999999998</v>
      </c>
      <c r="J532" s="1">
        <f>Tabelle1[[#This Row],[Net Sales Price]]-Tabelle1[[#This Row],[Variable Costs]]</f>
        <v>-8.7364949152542355</v>
      </c>
    </row>
    <row r="533" spans="1:10" x14ac:dyDescent="0.25">
      <c r="A533" s="8" t="s">
        <v>541</v>
      </c>
      <c r="B533" s="1">
        <v>2.56</v>
      </c>
      <c r="C533" s="1">
        <v>17.059999999999999</v>
      </c>
      <c r="D533" s="1">
        <f>Tabelle1[[#This Row],[Gross Sales Price]]/1.18</f>
        <v>14.457627118644067</v>
      </c>
      <c r="E533" s="1">
        <f>Tabelle1[[#This Row],[Gross Sales Price]]*0.12</f>
        <v>2.0471999999999997</v>
      </c>
      <c r="F533" s="1">
        <v>0.4</v>
      </c>
      <c r="G533" s="1">
        <v>3</v>
      </c>
      <c r="H533" s="1">
        <v>2</v>
      </c>
      <c r="I533" s="2">
        <f>Tabelle1[[#This Row],[Base Price]]+Tabelle1[[#This Row],[Total Selling Costs
	]]+Tabelle1[[#This Row],[DHL Costs]]+Tabelle1[[#This Row],[Handling Costs]]+Tabelle1[[#This Row],[Fixed Costs]]</f>
        <v>10.007199999999999</v>
      </c>
      <c r="J533" s="1">
        <f>Tabelle1[[#This Row],[Net Sales Price]]-Tabelle1[[#This Row],[Variable Costs]]</f>
        <v>4.4504271186440683</v>
      </c>
    </row>
    <row r="534" spans="1:10" x14ac:dyDescent="0.25">
      <c r="A534" s="8" t="s">
        <v>542</v>
      </c>
      <c r="B534" s="1">
        <v>15.54</v>
      </c>
      <c r="C534" s="1">
        <v>14.62</v>
      </c>
      <c r="D534" s="1">
        <f>Tabelle1[[#This Row],[Gross Sales Price]]/1.18</f>
        <v>12.389830508474576</v>
      </c>
      <c r="E534" s="1">
        <f>Tabelle1[[#This Row],[Gross Sales Price]]*0.12</f>
        <v>1.7543999999999997</v>
      </c>
      <c r="F534" s="1">
        <v>0.4</v>
      </c>
      <c r="G534" s="1">
        <v>3</v>
      </c>
      <c r="H534" s="1">
        <v>2</v>
      </c>
      <c r="I534" s="2">
        <f>Tabelle1[[#This Row],[Base Price]]+Tabelle1[[#This Row],[Total Selling Costs
	]]+Tabelle1[[#This Row],[DHL Costs]]+Tabelle1[[#This Row],[Handling Costs]]+Tabelle1[[#This Row],[Fixed Costs]]</f>
        <v>22.694399999999998</v>
      </c>
      <c r="J534" s="1">
        <f>Tabelle1[[#This Row],[Net Sales Price]]-Tabelle1[[#This Row],[Variable Costs]]</f>
        <v>-10.304569491525422</v>
      </c>
    </row>
    <row r="535" spans="1:10" x14ac:dyDescent="0.25">
      <c r="A535" s="8" t="s">
        <v>543</v>
      </c>
      <c r="B535" s="1">
        <v>11.67</v>
      </c>
      <c r="C535" s="1">
        <v>31.14</v>
      </c>
      <c r="D535" s="1">
        <f>Tabelle1[[#This Row],[Gross Sales Price]]/1.18</f>
        <v>26.389830508474578</v>
      </c>
      <c r="E535" s="1">
        <f>Tabelle1[[#This Row],[Gross Sales Price]]*0.12</f>
        <v>3.7368000000000001</v>
      </c>
      <c r="F535" s="1">
        <v>0.4</v>
      </c>
      <c r="G535" s="1">
        <v>3</v>
      </c>
      <c r="H535" s="1">
        <v>2</v>
      </c>
      <c r="I535" s="2">
        <f>Tabelle1[[#This Row],[Base Price]]+Tabelle1[[#This Row],[Total Selling Costs
	]]+Tabelle1[[#This Row],[DHL Costs]]+Tabelle1[[#This Row],[Handling Costs]]+Tabelle1[[#This Row],[Fixed Costs]]</f>
        <v>20.806799999999999</v>
      </c>
      <c r="J535" s="1">
        <f>Tabelle1[[#This Row],[Net Sales Price]]-Tabelle1[[#This Row],[Variable Costs]]</f>
        <v>5.5830305084745788</v>
      </c>
    </row>
    <row r="536" spans="1:10" x14ac:dyDescent="0.25">
      <c r="A536" s="8" t="s">
        <v>544</v>
      </c>
      <c r="B536" s="1">
        <v>5.62</v>
      </c>
      <c r="C536" s="1">
        <v>31.93</v>
      </c>
      <c r="D536" s="1">
        <f>Tabelle1[[#This Row],[Gross Sales Price]]/1.18</f>
        <v>27.059322033898308</v>
      </c>
      <c r="E536" s="1">
        <f>Tabelle1[[#This Row],[Gross Sales Price]]*0.12</f>
        <v>3.8315999999999999</v>
      </c>
      <c r="F536" s="1">
        <v>0.4</v>
      </c>
      <c r="G536" s="1">
        <v>3</v>
      </c>
      <c r="H536" s="1">
        <v>2</v>
      </c>
      <c r="I536" s="2">
        <f>Tabelle1[[#This Row],[Base Price]]+Tabelle1[[#This Row],[Total Selling Costs
	]]+Tabelle1[[#This Row],[DHL Costs]]+Tabelle1[[#This Row],[Handling Costs]]+Tabelle1[[#This Row],[Fixed Costs]]</f>
        <v>14.851599999999999</v>
      </c>
      <c r="J536" s="1">
        <f>Tabelle1[[#This Row],[Net Sales Price]]-Tabelle1[[#This Row],[Variable Costs]]</f>
        <v>12.207722033898309</v>
      </c>
    </row>
    <row r="537" spans="1:10" x14ac:dyDescent="0.25">
      <c r="A537" s="8" t="s">
        <v>545</v>
      </c>
      <c r="B537" s="1">
        <v>12.75</v>
      </c>
      <c r="C537" s="1">
        <v>3.93</v>
      </c>
      <c r="D537" s="1">
        <f>Tabelle1[[#This Row],[Gross Sales Price]]/1.18</f>
        <v>3.3305084745762716</v>
      </c>
      <c r="E537" s="1">
        <f>Tabelle1[[#This Row],[Gross Sales Price]]*0.12</f>
        <v>0.47160000000000002</v>
      </c>
      <c r="F537" s="1">
        <v>0.4</v>
      </c>
      <c r="G537" s="1">
        <v>3</v>
      </c>
      <c r="H537" s="1">
        <v>2</v>
      </c>
      <c r="I537" s="2">
        <f>Tabelle1[[#This Row],[Base Price]]+Tabelle1[[#This Row],[Total Selling Costs
	]]+Tabelle1[[#This Row],[DHL Costs]]+Tabelle1[[#This Row],[Handling Costs]]+Tabelle1[[#This Row],[Fixed Costs]]</f>
        <v>18.621600000000001</v>
      </c>
      <c r="J537" s="1">
        <f>Tabelle1[[#This Row],[Net Sales Price]]-Tabelle1[[#This Row],[Variable Costs]]</f>
        <v>-15.291091525423729</v>
      </c>
    </row>
    <row r="538" spans="1:10" x14ac:dyDescent="0.25">
      <c r="A538" s="8" t="s">
        <v>546</v>
      </c>
      <c r="B538" s="1">
        <v>2.4300000000000002</v>
      </c>
      <c r="C538" s="1">
        <v>22.72</v>
      </c>
      <c r="D538" s="1">
        <f>Tabelle1[[#This Row],[Gross Sales Price]]/1.18</f>
        <v>19.254237288135592</v>
      </c>
      <c r="E538" s="1">
        <f>Tabelle1[[#This Row],[Gross Sales Price]]*0.12</f>
        <v>2.7263999999999999</v>
      </c>
      <c r="F538" s="1">
        <v>0.4</v>
      </c>
      <c r="G538" s="1">
        <v>3</v>
      </c>
      <c r="H538" s="1">
        <v>2</v>
      </c>
      <c r="I538" s="2">
        <f>Tabelle1[[#This Row],[Base Price]]+Tabelle1[[#This Row],[Total Selling Costs
	]]+Tabelle1[[#This Row],[DHL Costs]]+Tabelle1[[#This Row],[Handling Costs]]+Tabelle1[[#This Row],[Fixed Costs]]</f>
        <v>10.5564</v>
      </c>
      <c r="J538" s="1">
        <f>Tabelle1[[#This Row],[Net Sales Price]]-Tabelle1[[#This Row],[Variable Costs]]</f>
        <v>8.6978372881355916</v>
      </c>
    </row>
    <row r="539" spans="1:10" x14ac:dyDescent="0.25">
      <c r="A539" s="8" t="s">
        <v>547</v>
      </c>
      <c r="B539" s="1">
        <v>1.83</v>
      </c>
      <c r="C539" s="1">
        <v>32.69</v>
      </c>
      <c r="D539" s="1">
        <f>Tabelle1[[#This Row],[Gross Sales Price]]/1.18</f>
        <v>27.703389830508474</v>
      </c>
      <c r="E539" s="1">
        <f>Tabelle1[[#This Row],[Gross Sales Price]]*0.12</f>
        <v>3.9227999999999996</v>
      </c>
      <c r="F539" s="1">
        <v>0.4</v>
      </c>
      <c r="G539" s="1">
        <v>3</v>
      </c>
      <c r="H539" s="1">
        <v>2</v>
      </c>
      <c r="I539" s="2">
        <f>Tabelle1[[#This Row],[Base Price]]+Tabelle1[[#This Row],[Total Selling Costs
	]]+Tabelle1[[#This Row],[DHL Costs]]+Tabelle1[[#This Row],[Handling Costs]]+Tabelle1[[#This Row],[Fixed Costs]]</f>
        <v>11.152800000000001</v>
      </c>
      <c r="J539" s="1">
        <f>Tabelle1[[#This Row],[Net Sales Price]]-Tabelle1[[#This Row],[Variable Costs]]</f>
        <v>16.550589830508471</v>
      </c>
    </row>
    <row r="540" spans="1:10" x14ac:dyDescent="0.25">
      <c r="A540" s="8" t="s">
        <v>548</v>
      </c>
      <c r="B540" s="1">
        <v>16.37</v>
      </c>
      <c r="C540" s="1">
        <v>15.23</v>
      </c>
      <c r="D540" s="1">
        <f>Tabelle1[[#This Row],[Gross Sales Price]]/1.18</f>
        <v>12.90677966101695</v>
      </c>
      <c r="E540" s="1">
        <f>Tabelle1[[#This Row],[Gross Sales Price]]*0.12</f>
        <v>1.8275999999999999</v>
      </c>
      <c r="F540" s="1">
        <v>0.4</v>
      </c>
      <c r="G540" s="1">
        <v>3</v>
      </c>
      <c r="H540" s="1">
        <v>2</v>
      </c>
      <c r="I540" s="2">
        <f>Tabelle1[[#This Row],[Base Price]]+Tabelle1[[#This Row],[Total Selling Costs
	]]+Tabelle1[[#This Row],[DHL Costs]]+Tabelle1[[#This Row],[Handling Costs]]+Tabelle1[[#This Row],[Fixed Costs]]</f>
        <v>23.5976</v>
      </c>
      <c r="J540" s="1">
        <f>Tabelle1[[#This Row],[Net Sales Price]]-Tabelle1[[#This Row],[Variable Costs]]</f>
        <v>-10.69082033898305</v>
      </c>
    </row>
    <row r="541" spans="1:10" x14ac:dyDescent="0.25">
      <c r="A541" s="8" t="s">
        <v>549</v>
      </c>
      <c r="B541" s="1">
        <v>15.29</v>
      </c>
      <c r="C541" s="1">
        <v>12.36</v>
      </c>
      <c r="D541" s="1">
        <f>Tabelle1[[#This Row],[Gross Sales Price]]/1.18</f>
        <v>10.474576271186441</v>
      </c>
      <c r="E541" s="1">
        <f>Tabelle1[[#This Row],[Gross Sales Price]]*0.12</f>
        <v>1.4831999999999999</v>
      </c>
      <c r="F541" s="1">
        <v>0.4</v>
      </c>
      <c r="G541" s="1">
        <v>3</v>
      </c>
      <c r="H541" s="1">
        <v>2</v>
      </c>
      <c r="I541" s="2">
        <f>Tabelle1[[#This Row],[Base Price]]+Tabelle1[[#This Row],[Total Selling Costs
	]]+Tabelle1[[#This Row],[DHL Costs]]+Tabelle1[[#This Row],[Handling Costs]]+Tabelle1[[#This Row],[Fixed Costs]]</f>
        <v>22.173199999999998</v>
      </c>
      <c r="J541" s="1">
        <f>Tabelle1[[#This Row],[Net Sales Price]]-Tabelle1[[#This Row],[Variable Costs]]</f>
        <v>-11.698623728813557</v>
      </c>
    </row>
    <row r="542" spans="1:10" x14ac:dyDescent="0.25">
      <c r="A542" s="8" t="s">
        <v>550</v>
      </c>
      <c r="B542" s="1">
        <v>8.74</v>
      </c>
      <c r="C542" s="1">
        <v>19.63</v>
      </c>
      <c r="D542" s="1">
        <f>Tabelle1[[#This Row],[Gross Sales Price]]/1.18</f>
        <v>16.635593220338983</v>
      </c>
      <c r="E542" s="1">
        <f>Tabelle1[[#This Row],[Gross Sales Price]]*0.12</f>
        <v>2.3555999999999999</v>
      </c>
      <c r="F542" s="1">
        <v>0.4</v>
      </c>
      <c r="G542" s="1">
        <v>3</v>
      </c>
      <c r="H542" s="1">
        <v>2</v>
      </c>
      <c r="I542" s="2">
        <f>Tabelle1[[#This Row],[Base Price]]+Tabelle1[[#This Row],[Total Selling Costs
	]]+Tabelle1[[#This Row],[DHL Costs]]+Tabelle1[[#This Row],[Handling Costs]]+Tabelle1[[#This Row],[Fixed Costs]]</f>
        <v>16.4956</v>
      </c>
      <c r="J542" s="1">
        <f>Tabelle1[[#This Row],[Net Sales Price]]-Tabelle1[[#This Row],[Variable Costs]]</f>
        <v>0.13999322033898309</v>
      </c>
    </row>
    <row r="543" spans="1:10" x14ac:dyDescent="0.25">
      <c r="A543" s="8" t="s">
        <v>551</v>
      </c>
      <c r="B543" s="1">
        <v>12.66</v>
      </c>
      <c r="C543" s="1">
        <v>19.54</v>
      </c>
      <c r="D543" s="1">
        <f>Tabelle1[[#This Row],[Gross Sales Price]]/1.18</f>
        <v>16.559322033898304</v>
      </c>
      <c r="E543" s="1">
        <f>Tabelle1[[#This Row],[Gross Sales Price]]*0.12</f>
        <v>2.3447999999999998</v>
      </c>
      <c r="F543" s="1">
        <v>0.4</v>
      </c>
      <c r="G543" s="1">
        <v>3</v>
      </c>
      <c r="H543" s="1">
        <v>2</v>
      </c>
      <c r="I543" s="2">
        <f>Tabelle1[[#This Row],[Base Price]]+Tabelle1[[#This Row],[Total Selling Costs
	]]+Tabelle1[[#This Row],[DHL Costs]]+Tabelle1[[#This Row],[Handling Costs]]+Tabelle1[[#This Row],[Fixed Costs]]</f>
        <v>20.404799999999998</v>
      </c>
      <c r="J543" s="1">
        <f>Tabelle1[[#This Row],[Net Sales Price]]-Tabelle1[[#This Row],[Variable Costs]]</f>
        <v>-3.8454779661016936</v>
      </c>
    </row>
    <row r="544" spans="1:10" x14ac:dyDescent="0.25">
      <c r="A544" s="8" t="s">
        <v>552</v>
      </c>
      <c r="B544" s="1">
        <v>16.309999999999999</v>
      </c>
      <c r="C544" s="1">
        <v>31.79</v>
      </c>
      <c r="D544" s="1">
        <f>Tabelle1[[#This Row],[Gross Sales Price]]/1.18</f>
        <v>26.940677966101696</v>
      </c>
      <c r="E544" s="1">
        <f>Tabelle1[[#This Row],[Gross Sales Price]]*0.12</f>
        <v>3.8148</v>
      </c>
      <c r="F544" s="1">
        <v>0.4</v>
      </c>
      <c r="G544" s="1">
        <v>3</v>
      </c>
      <c r="H544" s="1">
        <v>2</v>
      </c>
      <c r="I544" s="2">
        <f>Tabelle1[[#This Row],[Base Price]]+Tabelle1[[#This Row],[Total Selling Costs
	]]+Tabelle1[[#This Row],[DHL Costs]]+Tabelle1[[#This Row],[Handling Costs]]+Tabelle1[[#This Row],[Fixed Costs]]</f>
        <v>25.524799999999999</v>
      </c>
      <c r="J544" s="1">
        <f>Tabelle1[[#This Row],[Net Sales Price]]-Tabelle1[[#This Row],[Variable Costs]]</f>
        <v>1.4158779661016965</v>
      </c>
    </row>
    <row r="545" spans="1:10" x14ac:dyDescent="0.25">
      <c r="A545" s="8" t="s">
        <v>553</v>
      </c>
      <c r="B545" s="1">
        <v>12.26</v>
      </c>
      <c r="C545" s="1">
        <v>26.31</v>
      </c>
      <c r="D545" s="1">
        <f>Tabelle1[[#This Row],[Gross Sales Price]]/1.18</f>
        <v>22.296610169491526</v>
      </c>
      <c r="E545" s="1">
        <f>Tabelle1[[#This Row],[Gross Sales Price]]*0.12</f>
        <v>3.1571999999999996</v>
      </c>
      <c r="F545" s="1">
        <v>0.4</v>
      </c>
      <c r="G545" s="1">
        <v>3</v>
      </c>
      <c r="H545" s="1">
        <v>2</v>
      </c>
      <c r="I545" s="2">
        <f>Tabelle1[[#This Row],[Base Price]]+Tabelle1[[#This Row],[Total Selling Costs
	]]+Tabelle1[[#This Row],[DHL Costs]]+Tabelle1[[#This Row],[Handling Costs]]+Tabelle1[[#This Row],[Fixed Costs]]</f>
        <v>20.8172</v>
      </c>
      <c r="J545" s="1">
        <f>Tabelle1[[#This Row],[Net Sales Price]]-Tabelle1[[#This Row],[Variable Costs]]</f>
        <v>1.4794101694915263</v>
      </c>
    </row>
    <row r="546" spans="1:10" x14ac:dyDescent="0.25">
      <c r="A546" s="8" t="s">
        <v>554</v>
      </c>
      <c r="B546" s="1">
        <v>5.74</v>
      </c>
      <c r="C546" s="1">
        <v>4.54</v>
      </c>
      <c r="D546" s="1">
        <f>Tabelle1[[#This Row],[Gross Sales Price]]/1.18</f>
        <v>3.8474576271186445</v>
      </c>
      <c r="E546" s="1">
        <f>Tabelle1[[#This Row],[Gross Sales Price]]*0.12</f>
        <v>0.54479999999999995</v>
      </c>
      <c r="F546" s="1">
        <v>0.4</v>
      </c>
      <c r="G546" s="1">
        <v>3</v>
      </c>
      <c r="H546" s="1">
        <v>2</v>
      </c>
      <c r="I546" s="2">
        <f>Tabelle1[[#This Row],[Base Price]]+Tabelle1[[#This Row],[Total Selling Costs
	]]+Tabelle1[[#This Row],[DHL Costs]]+Tabelle1[[#This Row],[Handling Costs]]+Tabelle1[[#This Row],[Fixed Costs]]</f>
        <v>11.684800000000001</v>
      </c>
      <c r="J546" s="1">
        <f>Tabelle1[[#This Row],[Net Sales Price]]-Tabelle1[[#This Row],[Variable Costs]]</f>
        <v>-7.8373423728813565</v>
      </c>
    </row>
    <row r="547" spans="1:10" x14ac:dyDescent="0.25">
      <c r="A547" s="8" t="s">
        <v>555</v>
      </c>
      <c r="B547" s="1">
        <v>10.32</v>
      </c>
      <c r="C547" s="1">
        <v>12.92</v>
      </c>
      <c r="D547" s="1">
        <f>Tabelle1[[#This Row],[Gross Sales Price]]/1.18</f>
        <v>10.949152542372882</v>
      </c>
      <c r="E547" s="1">
        <f>Tabelle1[[#This Row],[Gross Sales Price]]*0.12</f>
        <v>1.5504</v>
      </c>
      <c r="F547" s="1">
        <v>0.4</v>
      </c>
      <c r="G547" s="1">
        <v>3</v>
      </c>
      <c r="H547" s="1">
        <v>2</v>
      </c>
      <c r="I547" s="2">
        <f>Tabelle1[[#This Row],[Base Price]]+Tabelle1[[#This Row],[Total Selling Costs
	]]+Tabelle1[[#This Row],[DHL Costs]]+Tabelle1[[#This Row],[Handling Costs]]+Tabelle1[[#This Row],[Fixed Costs]]</f>
        <v>17.270399999999999</v>
      </c>
      <c r="J547" s="1">
        <f>Tabelle1[[#This Row],[Net Sales Price]]-Tabelle1[[#This Row],[Variable Costs]]</f>
        <v>-6.3212474576271163</v>
      </c>
    </row>
    <row r="548" spans="1:10" x14ac:dyDescent="0.25">
      <c r="A548" s="8" t="s">
        <v>556</v>
      </c>
      <c r="B548" s="1">
        <v>19.68</v>
      </c>
      <c r="C548" s="1">
        <v>27.59</v>
      </c>
      <c r="D548" s="1">
        <f>Tabelle1[[#This Row],[Gross Sales Price]]/1.18</f>
        <v>23.381355932203391</v>
      </c>
      <c r="E548" s="1">
        <f>Tabelle1[[#This Row],[Gross Sales Price]]*0.12</f>
        <v>3.3108</v>
      </c>
      <c r="F548" s="1">
        <v>0.4</v>
      </c>
      <c r="G548" s="1">
        <v>3</v>
      </c>
      <c r="H548" s="1">
        <v>2</v>
      </c>
      <c r="I548" s="2">
        <f>Tabelle1[[#This Row],[Base Price]]+Tabelle1[[#This Row],[Total Selling Costs
	]]+Tabelle1[[#This Row],[DHL Costs]]+Tabelle1[[#This Row],[Handling Costs]]+Tabelle1[[#This Row],[Fixed Costs]]</f>
        <v>28.390799999999999</v>
      </c>
      <c r="J548" s="1">
        <f>Tabelle1[[#This Row],[Net Sales Price]]-Tabelle1[[#This Row],[Variable Costs]]</f>
        <v>-5.0094440677966077</v>
      </c>
    </row>
    <row r="549" spans="1:10" x14ac:dyDescent="0.25">
      <c r="A549" s="8" t="s">
        <v>557</v>
      </c>
      <c r="B549" s="1">
        <v>10.5</v>
      </c>
      <c r="C549" s="1">
        <v>21.45</v>
      </c>
      <c r="D549" s="1">
        <f>Tabelle1[[#This Row],[Gross Sales Price]]/1.18</f>
        <v>18.177966101694917</v>
      </c>
      <c r="E549" s="1">
        <f>Tabelle1[[#This Row],[Gross Sales Price]]*0.12</f>
        <v>2.5739999999999998</v>
      </c>
      <c r="F549" s="1">
        <v>0.4</v>
      </c>
      <c r="G549" s="1">
        <v>3</v>
      </c>
      <c r="H549" s="1">
        <v>2</v>
      </c>
      <c r="I549" s="2">
        <f>Tabelle1[[#This Row],[Base Price]]+Tabelle1[[#This Row],[Total Selling Costs
	]]+Tabelle1[[#This Row],[DHL Costs]]+Tabelle1[[#This Row],[Handling Costs]]+Tabelle1[[#This Row],[Fixed Costs]]</f>
        <v>18.473999999999997</v>
      </c>
      <c r="J549" s="1">
        <f>Tabelle1[[#This Row],[Net Sales Price]]-Tabelle1[[#This Row],[Variable Costs]]</f>
        <v>-0.29603389830507965</v>
      </c>
    </row>
    <row r="550" spans="1:10" x14ac:dyDescent="0.25">
      <c r="A550" s="8" t="s">
        <v>558</v>
      </c>
      <c r="B550" s="1">
        <v>2.33</v>
      </c>
      <c r="C550" s="1">
        <v>16.48</v>
      </c>
      <c r="D550" s="1">
        <f>Tabelle1[[#This Row],[Gross Sales Price]]/1.18</f>
        <v>13.966101694915256</v>
      </c>
      <c r="E550" s="1">
        <f>Tabelle1[[#This Row],[Gross Sales Price]]*0.12</f>
        <v>1.9776</v>
      </c>
      <c r="F550" s="1">
        <v>0.4</v>
      </c>
      <c r="G550" s="1">
        <v>3</v>
      </c>
      <c r="H550" s="1">
        <v>2</v>
      </c>
      <c r="I550" s="2">
        <f>Tabelle1[[#This Row],[Base Price]]+Tabelle1[[#This Row],[Total Selling Costs
	]]+Tabelle1[[#This Row],[DHL Costs]]+Tabelle1[[#This Row],[Handling Costs]]+Tabelle1[[#This Row],[Fixed Costs]]</f>
        <v>9.7076000000000011</v>
      </c>
      <c r="J550" s="1">
        <f>Tabelle1[[#This Row],[Net Sales Price]]-Tabelle1[[#This Row],[Variable Costs]]</f>
        <v>4.258501694915255</v>
      </c>
    </row>
    <row r="551" spans="1:10" x14ac:dyDescent="0.25">
      <c r="A551" s="8" t="s">
        <v>559</v>
      </c>
      <c r="B551" s="1">
        <v>19.91</v>
      </c>
      <c r="C551" s="1">
        <v>6.37</v>
      </c>
      <c r="D551" s="1">
        <f>Tabelle1[[#This Row],[Gross Sales Price]]/1.18</f>
        <v>5.398305084745763</v>
      </c>
      <c r="E551" s="1">
        <f>Tabelle1[[#This Row],[Gross Sales Price]]*0.12</f>
        <v>0.76439999999999997</v>
      </c>
      <c r="F551" s="1">
        <v>0.4</v>
      </c>
      <c r="G551" s="1">
        <v>3</v>
      </c>
      <c r="H551" s="1">
        <v>2</v>
      </c>
      <c r="I551" s="2">
        <f>Tabelle1[[#This Row],[Base Price]]+Tabelle1[[#This Row],[Total Selling Costs
	]]+Tabelle1[[#This Row],[DHL Costs]]+Tabelle1[[#This Row],[Handling Costs]]+Tabelle1[[#This Row],[Fixed Costs]]</f>
        <v>26.074399999999997</v>
      </c>
      <c r="J551" s="1">
        <f>Tabelle1[[#This Row],[Net Sales Price]]-Tabelle1[[#This Row],[Variable Costs]]</f>
        <v>-20.676094915254232</v>
      </c>
    </row>
    <row r="552" spans="1:10" x14ac:dyDescent="0.25">
      <c r="A552" s="8" t="s">
        <v>560</v>
      </c>
      <c r="B552" s="1">
        <v>6.87</v>
      </c>
      <c r="C552" s="1">
        <v>36.630000000000003</v>
      </c>
      <c r="D552" s="1">
        <f>Tabelle1[[#This Row],[Gross Sales Price]]/1.18</f>
        <v>31.042372881355934</v>
      </c>
      <c r="E552" s="1">
        <f>Tabelle1[[#This Row],[Gross Sales Price]]*0.12</f>
        <v>4.3956</v>
      </c>
      <c r="F552" s="1">
        <v>0.4</v>
      </c>
      <c r="G552" s="1">
        <v>3</v>
      </c>
      <c r="H552" s="1">
        <v>2</v>
      </c>
      <c r="I552" s="2">
        <f>Tabelle1[[#This Row],[Base Price]]+Tabelle1[[#This Row],[Total Selling Costs
	]]+Tabelle1[[#This Row],[DHL Costs]]+Tabelle1[[#This Row],[Handling Costs]]+Tabelle1[[#This Row],[Fixed Costs]]</f>
        <v>16.665599999999998</v>
      </c>
      <c r="J552" s="1">
        <f>Tabelle1[[#This Row],[Net Sales Price]]-Tabelle1[[#This Row],[Variable Costs]]</f>
        <v>14.376772881355937</v>
      </c>
    </row>
    <row r="553" spans="1:10" x14ac:dyDescent="0.25">
      <c r="A553" s="8" t="s">
        <v>561</v>
      </c>
      <c r="B553" s="1">
        <v>11.95</v>
      </c>
      <c r="C553" s="1">
        <v>11.05</v>
      </c>
      <c r="D553" s="1">
        <f>Tabelle1[[#This Row],[Gross Sales Price]]/1.18</f>
        <v>9.3644067796610173</v>
      </c>
      <c r="E553" s="1">
        <f>Tabelle1[[#This Row],[Gross Sales Price]]*0.12</f>
        <v>1.3260000000000001</v>
      </c>
      <c r="F553" s="1">
        <v>0.4</v>
      </c>
      <c r="G553" s="1">
        <v>3</v>
      </c>
      <c r="H553" s="1">
        <v>2</v>
      </c>
      <c r="I553" s="2">
        <f>Tabelle1[[#This Row],[Base Price]]+Tabelle1[[#This Row],[Total Selling Costs
	]]+Tabelle1[[#This Row],[DHL Costs]]+Tabelle1[[#This Row],[Handling Costs]]+Tabelle1[[#This Row],[Fixed Costs]]</f>
        <v>18.675999999999998</v>
      </c>
      <c r="J553" s="1">
        <f>Tabelle1[[#This Row],[Net Sales Price]]-Tabelle1[[#This Row],[Variable Costs]]</f>
        <v>-9.3115932203389811</v>
      </c>
    </row>
    <row r="554" spans="1:10" x14ac:dyDescent="0.25">
      <c r="A554" s="8" t="s">
        <v>562</v>
      </c>
      <c r="B554" s="1">
        <v>2.7</v>
      </c>
      <c r="C554" s="1">
        <v>4.26</v>
      </c>
      <c r="D554" s="1">
        <f>Tabelle1[[#This Row],[Gross Sales Price]]/1.18</f>
        <v>3.6101694915254239</v>
      </c>
      <c r="E554" s="1">
        <f>Tabelle1[[#This Row],[Gross Sales Price]]*0.12</f>
        <v>0.51119999999999999</v>
      </c>
      <c r="F554" s="1">
        <v>0.4</v>
      </c>
      <c r="G554" s="1">
        <v>3</v>
      </c>
      <c r="H554" s="1">
        <v>2</v>
      </c>
      <c r="I554" s="2">
        <f>Tabelle1[[#This Row],[Base Price]]+Tabelle1[[#This Row],[Total Selling Costs
	]]+Tabelle1[[#This Row],[DHL Costs]]+Tabelle1[[#This Row],[Handling Costs]]+Tabelle1[[#This Row],[Fixed Costs]]</f>
        <v>8.6112000000000002</v>
      </c>
      <c r="J554" s="1">
        <f>Tabelle1[[#This Row],[Net Sales Price]]-Tabelle1[[#This Row],[Variable Costs]]</f>
        <v>-5.0010305084745763</v>
      </c>
    </row>
    <row r="555" spans="1:10" x14ac:dyDescent="0.25">
      <c r="A555" s="8" t="s">
        <v>563</v>
      </c>
      <c r="B555" s="1">
        <v>11.91</v>
      </c>
      <c r="C555" s="1">
        <v>24.31</v>
      </c>
      <c r="D555" s="1">
        <f>Tabelle1[[#This Row],[Gross Sales Price]]/1.18</f>
        <v>20.601694915254239</v>
      </c>
      <c r="E555" s="1">
        <f>Tabelle1[[#This Row],[Gross Sales Price]]*0.12</f>
        <v>2.9171999999999998</v>
      </c>
      <c r="F555" s="1">
        <v>0.4</v>
      </c>
      <c r="G555" s="1">
        <v>3</v>
      </c>
      <c r="H555" s="1">
        <v>2</v>
      </c>
      <c r="I555" s="2">
        <f>Tabelle1[[#This Row],[Base Price]]+Tabelle1[[#This Row],[Total Selling Costs
	]]+Tabelle1[[#This Row],[DHL Costs]]+Tabelle1[[#This Row],[Handling Costs]]+Tabelle1[[#This Row],[Fixed Costs]]</f>
        <v>20.227199999999996</v>
      </c>
      <c r="J555" s="1">
        <f>Tabelle1[[#This Row],[Net Sales Price]]-Tabelle1[[#This Row],[Variable Costs]]</f>
        <v>0.3744949152542425</v>
      </c>
    </row>
    <row r="556" spans="1:10" x14ac:dyDescent="0.25">
      <c r="A556" s="8" t="s">
        <v>564</v>
      </c>
      <c r="B556" s="1">
        <v>16.84</v>
      </c>
      <c r="C556" s="1">
        <v>18.71</v>
      </c>
      <c r="D556" s="1">
        <f>Tabelle1[[#This Row],[Gross Sales Price]]/1.18</f>
        <v>15.855932203389832</v>
      </c>
      <c r="E556" s="1">
        <f>Tabelle1[[#This Row],[Gross Sales Price]]*0.12</f>
        <v>2.2452000000000001</v>
      </c>
      <c r="F556" s="1">
        <v>0.4</v>
      </c>
      <c r="G556" s="1">
        <v>3</v>
      </c>
      <c r="H556" s="1">
        <v>2</v>
      </c>
      <c r="I556" s="2">
        <f>Tabelle1[[#This Row],[Base Price]]+Tabelle1[[#This Row],[Total Selling Costs
	]]+Tabelle1[[#This Row],[DHL Costs]]+Tabelle1[[#This Row],[Handling Costs]]+Tabelle1[[#This Row],[Fixed Costs]]</f>
        <v>24.485199999999999</v>
      </c>
      <c r="J556" s="1">
        <f>Tabelle1[[#This Row],[Net Sales Price]]-Tabelle1[[#This Row],[Variable Costs]]</f>
        <v>-8.6292677966101667</v>
      </c>
    </row>
    <row r="557" spans="1:10" x14ac:dyDescent="0.25">
      <c r="A557" s="8" t="s">
        <v>565</v>
      </c>
      <c r="B557" s="1">
        <v>2.29</v>
      </c>
      <c r="C557" s="1">
        <v>18.940000000000001</v>
      </c>
      <c r="D557" s="1">
        <f>Tabelle1[[#This Row],[Gross Sales Price]]/1.18</f>
        <v>16.050847457627121</v>
      </c>
      <c r="E557" s="1">
        <f>Tabelle1[[#This Row],[Gross Sales Price]]*0.12</f>
        <v>2.2728000000000002</v>
      </c>
      <c r="F557" s="1">
        <v>0.4</v>
      </c>
      <c r="G557" s="1">
        <v>3</v>
      </c>
      <c r="H557" s="1">
        <v>2</v>
      </c>
      <c r="I557" s="2">
        <f>Tabelle1[[#This Row],[Base Price]]+Tabelle1[[#This Row],[Total Selling Costs
	]]+Tabelle1[[#This Row],[DHL Costs]]+Tabelle1[[#This Row],[Handling Costs]]+Tabelle1[[#This Row],[Fixed Costs]]</f>
        <v>9.9627999999999997</v>
      </c>
      <c r="J557" s="1">
        <f>Tabelle1[[#This Row],[Net Sales Price]]-Tabelle1[[#This Row],[Variable Costs]]</f>
        <v>6.0880474576271215</v>
      </c>
    </row>
    <row r="558" spans="1:10" x14ac:dyDescent="0.25">
      <c r="A558" s="8" t="s">
        <v>566</v>
      </c>
      <c r="B558" s="1">
        <v>10.86</v>
      </c>
      <c r="C558" s="1">
        <v>19.21</v>
      </c>
      <c r="D558" s="1">
        <f>Tabelle1[[#This Row],[Gross Sales Price]]/1.18</f>
        <v>16.279661016949156</v>
      </c>
      <c r="E558" s="1">
        <f>Tabelle1[[#This Row],[Gross Sales Price]]*0.12</f>
        <v>2.3052000000000001</v>
      </c>
      <c r="F558" s="1">
        <v>0.4</v>
      </c>
      <c r="G558" s="1">
        <v>3</v>
      </c>
      <c r="H558" s="1">
        <v>2</v>
      </c>
      <c r="I558" s="2">
        <f>Tabelle1[[#This Row],[Base Price]]+Tabelle1[[#This Row],[Total Selling Costs
	]]+Tabelle1[[#This Row],[DHL Costs]]+Tabelle1[[#This Row],[Handling Costs]]+Tabelle1[[#This Row],[Fixed Costs]]</f>
        <v>18.565199999999997</v>
      </c>
      <c r="J558" s="1">
        <f>Tabelle1[[#This Row],[Net Sales Price]]-Tabelle1[[#This Row],[Variable Costs]]</f>
        <v>-2.2855389830508415</v>
      </c>
    </row>
    <row r="559" spans="1:10" x14ac:dyDescent="0.25">
      <c r="A559" s="8" t="s">
        <v>567</v>
      </c>
      <c r="B559" s="1">
        <v>9.94</v>
      </c>
      <c r="C559" s="1">
        <v>17.7</v>
      </c>
      <c r="D559" s="1">
        <f>Tabelle1[[#This Row],[Gross Sales Price]]/1.18</f>
        <v>15</v>
      </c>
      <c r="E559" s="1">
        <f>Tabelle1[[#This Row],[Gross Sales Price]]*0.12</f>
        <v>2.1239999999999997</v>
      </c>
      <c r="F559" s="1">
        <v>0.4</v>
      </c>
      <c r="G559" s="1">
        <v>3</v>
      </c>
      <c r="H559" s="1">
        <v>2</v>
      </c>
      <c r="I559" s="2">
        <f>Tabelle1[[#This Row],[Base Price]]+Tabelle1[[#This Row],[Total Selling Costs
	]]+Tabelle1[[#This Row],[DHL Costs]]+Tabelle1[[#This Row],[Handling Costs]]+Tabelle1[[#This Row],[Fixed Costs]]</f>
        <v>17.463999999999999</v>
      </c>
      <c r="J559" s="1">
        <f>Tabelle1[[#This Row],[Net Sales Price]]-Tabelle1[[#This Row],[Variable Costs]]</f>
        <v>-2.4639999999999986</v>
      </c>
    </row>
    <row r="560" spans="1:10" x14ac:dyDescent="0.25">
      <c r="A560" s="8" t="s">
        <v>568</v>
      </c>
      <c r="B560" s="1">
        <v>2.79</v>
      </c>
      <c r="C560" s="1">
        <v>16.03</v>
      </c>
      <c r="D560" s="1">
        <f>Tabelle1[[#This Row],[Gross Sales Price]]/1.18</f>
        <v>13.584745762711867</v>
      </c>
      <c r="E560" s="1">
        <f>Tabelle1[[#This Row],[Gross Sales Price]]*0.12</f>
        <v>1.9236</v>
      </c>
      <c r="F560" s="1">
        <v>0.4</v>
      </c>
      <c r="G560" s="1">
        <v>3</v>
      </c>
      <c r="H560" s="1">
        <v>2</v>
      </c>
      <c r="I560" s="2">
        <f>Tabelle1[[#This Row],[Base Price]]+Tabelle1[[#This Row],[Total Selling Costs
	]]+Tabelle1[[#This Row],[DHL Costs]]+Tabelle1[[#This Row],[Handling Costs]]+Tabelle1[[#This Row],[Fixed Costs]]</f>
        <v>10.1136</v>
      </c>
      <c r="J560" s="1">
        <f>Tabelle1[[#This Row],[Net Sales Price]]-Tabelle1[[#This Row],[Variable Costs]]</f>
        <v>3.4711457627118669</v>
      </c>
    </row>
    <row r="561" spans="1:10" x14ac:dyDescent="0.25">
      <c r="A561" s="8" t="s">
        <v>569</v>
      </c>
      <c r="B561" s="1">
        <v>4.45</v>
      </c>
      <c r="C561" s="1">
        <v>17.66</v>
      </c>
      <c r="D561" s="1">
        <f>Tabelle1[[#This Row],[Gross Sales Price]]/1.18</f>
        <v>14.966101694915254</v>
      </c>
      <c r="E561" s="1">
        <f>Tabelle1[[#This Row],[Gross Sales Price]]*0.12</f>
        <v>2.1191999999999998</v>
      </c>
      <c r="F561" s="1">
        <v>0.4</v>
      </c>
      <c r="G561" s="1">
        <v>3</v>
      </c>
      <c r="H561" s="1">
        <v>2</v>
      </c>
      <c r="I561" s="2">
        <f>Tabelle1[[#This Row],[Base Price]]+Tabelle1[[#This Row],[Total Selling Costs
	]]+Tabelle1[[#This Row],[DHL Costs]]+Tabelle1[[#This Row],[Handling Costs]]+Tabelle1[[#This Row],[Fixed Costs]]</f>
        <v>11.969200000000001</v>
      </c>
      <c r="J561" s="1">
        <f>Tabelle1[[#This Row],[Net Sales Price]]-Tabelle1[[#This Row],[Variable Costs]]</f>
        <v>2.9969016949152536</v>
      </c>
    </row>
    <row r="562" spans="1:10" x14ac:dyDescent="0.25">
      <c r="A562" s="8" t="s">
        <v>570</v>
      </c>
      <c r="B562" s="1">
        <v>2.67</v>
      </c>
      <c r="C562" s="1">
        <v>19.809999999999999</v>
      </c>
      <c r="D562" s="1">
        <f>Tabelle1[[#This Row],[Gross Sales Price]]/1.18</f>
        <v>16.788135593220339</v>
      </c>
      <c r="E562" s="1">
        <f>Tabelle1[[#This Row],[Gross Sales Price]]*0.12</f>
        <v>2.3771999999999998</v>
      </c>
      <c r="F562" s="1">
        <v>0.4</v>
      </c>
      <c r="G562" s="1">
        <v>3</v>
      </c>
      <c r="H562" s="1">
        <v>2</v>
      </c>
      <c r="I562" s="2">
        <f>Tabelle1[[#This Row],[Base Price]]+Tabelle1[[#This Row],[Total Selling Costs
	]]+Tabelle1[[#This Row],[DHL Costs]]+Tabelle1[[#This Row],[Handling Costs]]+Tabelle1[[#This Row],[Fixed Costs]]</f>
        <v>10.4472</v>
      </c>
      <c r="J562" s="1">
        <f>Tabelle1[[#This Row],[Net Sales Price]]-Tabelle1[[#This Row],[Variable Costs]]</f>
        <v>6.3409355932203386</v>
      </c>
    </row>
    <row r="563" spans="1:10" x14ac:dyDescent="0.25">
      <c r="A563" s="8" t="s">
        <v>571</v>
      </c>
      <c r="B563" s="1">
        <v>6.14</v>
      </c>
      <c r="C563" s="1">
        <v>29.1</v>
      </c>
      <c r="D563" s="1">
        <f>Tabelle1[[#This Row],[Gross Sales Price]]/1.18</f>
        <v>24.661016949152543</v>
      </c>
      <c r="E563" s="1">
        <f>Tabelle1[[#This Row],[Gross Sales Price]]*0.12</f>
        <v>3.492</v>
      </c>
      <c r="F563" s="1">
        <v>0.4</v>
      </c>
      <c r="G563" s="1">
        <v>3</v>
      </c>
      <c r="H563" s="1">
        <v>2</v>
      </c>
      <c r="I563" s="2">
        <f>Tabelle1[[#This Row],[Base Price]]+Tabelle1[[#This Row],[Total Selling Costs
	]]+Tabelle1[[#This Row],[DHL Costs]]+Tabelle1[[#This Row],[Handling Costs]]+Tabelle1[[#This Row],[Fixed Costs]]</f>
        <v>15.032</v>
      </c>
      <c r="J563" s="1">
        <f>Tabelle1[[#This Row],[Net Sales Price]]-Tabelle1[[#This Row],[Variable Costs]]</f>
        <v>9.6290169491525432</v>
      </c>
    </row>
    <row r="564" spans="1:10" x14ac:dyDescent="0.25">
      <c r="A564" s="8" t="s">
        <v>572</v>
      </c>
      <c r="B564" s="1">
        <v>15.74</v>
      </c>
      <c r="C564" s="1">
        <v>7.78</v>
      </c>
      <c r="D564" s="1">
        <f>Tabelle1[[#This Row],[Gross Sales Price]]/1.18</f>
        <v>6.593220338983051</v>
      </c>
      <c r="E564" s="1">
        <f>Tabelle1[[#This Row],[Gross Sales Price]]*0.12</f>
        <v>0.93359999999999999</v>
      </c>
      <c r="F564" s="1">
        <v>0.4</v>
      </c>
      <c r="G564" s="1">
        <v>3</v>
      </c>
      <c r="H564" s="1">
        <v>2</v>
      </c>
      <c r="I564" s="2">
        <f>Tabelle1[[#This Row],[Base Price]]+Tabelle1[[#This Row],[Total Selling Costs
	]]+Tabelle1[[#This Row],[DHL Costs]]+Tabelle1[[#This Row],[Handling Costs]]+Tabelle1[[#This Row],[Fixed Costs]]</f>
        <v>22.073599999999999</v>
      </c>
      <c r="J564" s="1">
        <f>Tabelle1[[#This Row],[Net Sales Price]]-Tabelle1[[#This Row],[Variable Costs]]</f>
        <v>-15.480379661016947</v>
      </c>
    </row>
    <row r="565" spans="1:10" x14ac:dyDescent="0.25">
      <c r="A565" s="8" t="s">
        <v>573</v>
      </c>
      <c r="B565" s="1">
        <v>12.32</v>
      </c>
      <c r="C565" s="1">
        <v>22.64</v>
      </c>
      <c r="D565" s="1">
        <f>Tabelle1[[#This Row],[Gross Sales Price]]/1.18</f>
        <v>19.186440677966104</v>
      </c>
      <c r="E565" s="1">
        <f>Tabelle1[[#This Row],[Gross Sales Price]]*0.12</f>
        <v>2.7168000000000001</v>
      </c>
      <c r="F565" s="1">
        <v>0.4</v>
      </c>
      <c r="G565" s="1">
        <v>3</v>
      </c>
      <c r="H565" s="1">
        <v>2</v>
      </c>
      <c r="I565" s="2">
        <f>Tabelle1[[#This Row],[Base Price]]+Tabelle1[[#This Row],[Total Selling Costs
	]]+Tabelle1[[#This Row],[DHL Costs]]+Tabelle1[[#This Row],[Handling Costs]]+Tabelle1[[#This Row],[Fixed Costs]]</f>
        <v>20.436799999999998</v>
      </c>
      <c r="J565" s="1">
        <f>Tabelle1[[#This Row],[Net Sales Price]]-Tabelle1[[#This Row],[Variable Costs]]</f>
        <v>-1.2503593220338942</v>
      </c>
    </row>
    <row r="566" spans="1:10" x14ac:dyDescent="0.25">
      <c r="A566" s="8" t="s">
        <v>574</v>
      </c>
      <c r="B566" s="1">
        <v>8.39</v>
      </c>
      <c r="C566" s="1">
        <v>34.200000000000003</v>
      </c>
      <c r="D566" s="1">
        <f>Tabelle1[[#This Row],[Gross Sales Price]]/1.18</f>
        <v>28.98305084745763</v>
      </c>
      <c r="E566" s="1">
        <f>Tabelle1[[#This Row],[Gross Sales Price]]*0.12</f>
        <v>4.1040000000000001</v>
      </c>
      <c r="F566" s="1">
        <v>0.4</v>
      </c>
      <c r="G566" s="1">
        <v>3</v>
      </c>
      <c r="H566" s="1">
        <v>2</v>
      </c>
      <c r="I566" s="2">
        <f>Tabelle1[[#This Row],[Base Price]]+Tabelle1[[#This Row],[Total Selling Costs
	]]+Tabelle1[[#This Row],[DHL Costs]]+Tabelle1[[#This Row],[Handling Costs]]+Tabelle1[[#This Row],[Fixed Costs]]</f>
        <v>17.893999999999998</v>
      </c>
      <c r="J566" s="1">
        <f>Tabelle1[[#This Row],[Net Sales Price]]-Tabelle1[[#This Row],[Variable Costs]]</f>
        <v>11.089050847457631</v>
      </c>
    </row>
    <row r="567" spans="1:10" x14ac:dyDescent="0.25">
      <c r="A567" s="8" t="s">
        <v>575</v>
      </c>
      <c r="B567" s="1">
        <v>9.2799999999999994</v>
      </c>
      <c r="C567" s="1">
        <v>17.47</v>
      </c>
      <c r="D567" s="1">
        <f>Tabelle1[[#This Row],[Gross Sales Price]]/1.18</f>
        <v>14.805084745762711</v>
      </c>
      <c r="E567" s="1">
        <f>Tabelle1[[#This Row],[Gross Sales Price]]*0.12</f>
        <v>2.0963999999999996</v>
      </c>
      <c r="F567" s="1">
        <v>0.4</v>
      </c>
      <c r="G567" s="1">
        <v>3</v>
      </c>
      <c r="H567" s="1">
        <v>2</v>
      </c>
      <c r="I567" s="2">
        <f>Tabelle1[[#This Row],[Base Price]]+Tabelle1[[#This Row],[Total Selling Costs
	]]+Tabelle1[[#This Row],[DHL Costs]]+Tabelle1[[#This Row],[Handling Costs]]+Tabelle1[[#This Row],[Fixed Costs]]</f>
        <v>16.776399999999995</v>
      </c>
      <c r="J567" s="1">
        <f>Tabelle1[[#This Row],[Net Sales Price]]-Tabelle1[[#This Row],[Variable Costs]]</f>
        <v>-1.9713152542372843</v>
      </c>
    </row>
    <row r="568" spans="1:10" x14ac:dyDescent="0.25">
      <c r="A568" s="8" t="s">
        <v>576</v>
      </c>
      <c r="B568" s="1">
        <v>15.44</v>
      </c>
      <c r="C568" s="1">
        <v>27.41</v>
      </c>
      <c r="D568" s="1">
        <f>Tabelle1[[#This Row],[Gross Sales Price]]/1.18</f>
        <v>23.228813559322035</v>
      </c>
      <c r="E568" s="1">
        <f>Tabelle1[[#This Row],[Gross Sales Price]]*0.12</f>
        <v>3.2891999999999997</v>
      </c>
      <c r="F568" s="1">
        <v>0.4</v>
      </c>
      <c r="G568" s="1">
        <v>3</v>
      </c>
      <c r="H568" s="1">
        <v>2</v>
      </c>
      <c r="I568" s="2">
        <f>Tabelle1[[#This Row],[Base Price]]+Tabelle1[[#This Row],[Total Selling Costs
	]]+Tabelle1[[#This Row],[DHL Costs]]+Tabelle1[[#This Row],[Handling Costs]]+Tabelle1[[#This Row],[Fixed Costs]]</f>
        <v>24.129199999999997</v>
      </c>
      <c r="J568" s="1">
        <f>Tabelle1[[#This Row],[Net Sales Price]]-Tabelle1[[#This Row],[Variable Costs]]</f>
        <v>-0.9003864406779627</v>
      </c>
    </row>
    <row r="569" spans="1:10" x14ac:dyDescent="0.25">
      <c r="A569" s="8" t="s">
        <v>577</v>
      </c>
      <c r="B569" s="1">
        <v>11.99</v>
      </c>
      <c r="C569" s="1">
        <v>25.37</v>
      </c>
      <c r="D569" s="1">
        <f>Tabelle1[[#This Row],[Gross Sales Price]]/1.18</f>
        <v>21.500000000000004</v>
      </c>
      <c r="E569" s="1">
        <f>Tabelle1[[#This Row],[Gross Sales Price]]*0.12</f>
        <v>3.0444</v>
      </c>
      <c r="F569" s="1">
        <v>0.4</v>
      </c>
      <c r="G569" s="1">
        <v>3</v>
      </c>
      <c r="H569" s="1">
        <v>2</v>
      </c>
      <c r="I569" s="2">
        <f>Tabelle1[[#This Row],[Base Price]]+Tabelle1[[#This Row],[Total Selling Costs
	]]+Tabelle1[[#This Row],[DHL Costs]]+Tabelle1[[#This Row],[Handling Costs]]+Tabelle1[[#This Row],[Fixed Costs]]</f>
        <v>20.434399999999997</v>
      </c>
      <c r="J569" s="1">
        <f>Tabelle1[[#This Row],[Net Sales Price]]-Tabelle1[[#This Row],[Variable Costs]]</f>
        <v>1.065600000000007</v>
      </c>
    </row>
    <row r="570" spans="1:10" x14ac:dyDescent="0.25">
      <c r="A570" s="8" t="s">
        <v>578</v>
      </c>
      <c r="B570" s="1">
        <v>14.93</v>
      </c>
      <c r="C570" s="1">
        <v>33.53</v>
      </c>
      <c r="D570" s="1">
        <f>Tabelle1[[#This Row],[Gross Sales Price]]/1.18</f>
        <v>28.415254237288138</v>
      </c>
      <c r="E570" s="1">
        <f>Tabelle1[[#This Row],[Gross Sales Price]]*0.12</f>
        <v>4.0236000000000001</v>
      </c>
      <c r="F570" s="1">
        <v>0.4</v>
      </c>
      <c r="G570" s="1">
        <v>3</v>
      </c>
      <c r="H570" s="1">
        <v>2</v>
      </c>
      <c r="I570" s="2">
        <f>Tabelle1[[#This Row],[Base Price]]+Tabelle1[[#This Row],[Total Selling Costs
	]]+Tabelle1[[#This Row],[DHL Costs]]+Tabelle1[[#This Row],[Handling Costs]]+Tabelle1[[#This Row],[Fixed Costs]]</f>
        <v>24.3536</v>
      </c>
      <c r="J570" s="1">
        <f>Tabelle1[[#This Row],[Net Sales Price]]-Tabelle1[[#This Row],[Variable Costs]]</f>
        <v>4.0616542372881383</v>
      </c>
    </row>
    <row r="571" spans="1:10" x14ac:dyDescent="0.25">
      <c r="A571" s="8" t="s">
        <v>579</v>
      </c>
      <c r="B571" s="1">
        <v>4.3499999999999996</v>
      </c>
      <c r="C571" s="1">
        <v>26.59</v>
      </c>
      <c r="D571" s="1">
        <f>Tabelle1[[#This Row],[Gross Sales Price]]/1.18</f>
        <v>22.533898305084747</v>
      </c>
      <c r="E571" s="1">
        <f>Tabelle1[[#This Row],[Gross Sales Price]]*0.12</f>
        <v>3.1907999999999999</v>
      </c>
      <c r="F571" s="1">
        <v>0.4</v>
      </c>
      <c r="G571" s="1">
        <v>3</v>
      </c>
      <c r="H571" s="1">
        <v>2</v>
      </c>
      <c r="I571" s="2">
        <f>Tabelle1[[#This Row],[Base Price]]+Tabelle1[[#This Row],[Total Selling Costs
	]]+Tabelle1[[#This Row],[DHL Costs]]+Tabelle1[[#This Row],[Handling Costs]]+Tabelle1[[#This Row],[Fixed Costs]]</f>
        <v>12.940799999999999</v>
      </c>
      <c r="J571" s="1">
        <f>Tabelle1[[#This Row],[Net Sales Price]]-Tabelle1[[#This Row],[Variable Costs]]</f>
        <v>9.593098305084748</v>
      </c>
    </row>
    <row r="572" spans="1:10" x14ac:dyDescent="0.25">
      <c r="A572" s="8" t="s">
        <v>580</v>
      </c>
      <c r="B572" s="1">
        <v>9.0399999999999991</v>
      </c>
      <c r="C572" s="1">
        <v>5.42</v>
      </c>
      <c r="D572" s="1">
        <f>Tabelle1[[#This Row],[Gross Sales Price]]/1.18</f>
        <v>4.593220338983051</v>
      </c>
      <c r="E572" s="1">
        <f>Tabelle1[[#This Row],[Gross Sales Price]]*0.12</f>
        <v>0.65039999999999998</v>
      </c>
      <c r="F572" s="1">
        <v>0.4</v>
      </c>
      <c r="G572" s="1">
        <v>3</v>
      </c>
      <c r="H572" s="1">
        <v>2</v>
      </c>
      <c r="I572" s="2">
        <f>Tabelle1[[#This Row],[Base Price]]+Tabelle1[[#This Row],[Total Selling Costs
	]]+Tabelle1[[#This Row],[DHL Costs]]+Tabelle1[[#This Row],[Handling Costs]]+Tabelle1[[#This Row],[Fixed Costs]]</f>
        <v>15.090399999999999</v>
      </c>
      <c r="J572" s="1">
        <f>Tabelle1[[#This Row],[Net Sales Price]]-Tabelle1[[#This Row],[Variable Costs]]</f>
        <v>-10.497179661016947</v>
      </c>
    </row>
    <row r="573" spans="1:10" x14ac:dyDescent="0.25">
      <c r="A573" s="8" t="s">
        <v>581</v>
      </c>
      <c r="B573" s="1">
        <v>9.56</v>
      </c>
      <c r="C573" s="1">
        <v>21.81</v>
      </c>
      <c r="D573" s="1">
        <f>Tabelle1[[#This Row],[Gross Sales Price]]/1.18</f>
        <v>18.483050847457626</v>
      </c>
      <c r="E573" s="1">
        <f>Tabelle1[[#This Row],[Gross Sales Price]]*0.12</f>
        <v>2.6172</v>
      </c>
      <c r="F573" s="1">
        <v>0.4</v>
      </c>
      <c r="G573" s="1">
        <v>3</v>
      </c>
      <c r="H573" s="1">
        <v>2</v>
      </c>
      <c r="I573" s="2">
        <f>Tabelle1[[#This Row],[Base Price]]+Tabelle1[[#This Row],[Total Selling Costs
	]]+Tabelle1[[#This Row],[DHL Costs]]+Tabelle1[[#This Row],[Handling Costs]]+Tabelle1[[#This Row],[Fixed Costs]]</f>
        <v>17.577199999999998</v>
      </c>
      <c r="J573" s="1">
        <f>Tabelle1[[#This Row],[Net Sales Price]]-Tabelle1[[#This Row],[Variable Costs]]</f>
        <v>0.90585084745762856</v>
      </c>
    </row>
    <row r="574" spans="1:10" x14ac:dyDescent="0.25">
      <c r="A574" s="8" t="s">
        <v>582</v>
      </c>
      <c r="B574" s="1">
        <v>16.02</v>
      </c>
      <c r="C574" s="1">
        <v>37.49</v>
      </c>
      <c r="D574" s="1">
        <f>Tabelle1[[#This Row],[Gross Sales Price]]/1.18</f>
        <v>31.771186440677969</v>
      </c>
      <c r="E574" s="1">
        <f>Tabelle1[[#This Row],[Gross Sales Price]]*0.12</f>
        <v>4.4988000000000001</v>
      </c>
      <c r="F574" s="1">
        <v>0.4</v>
      </c>
      <c r="G574" s="1">
        <v>3</v>
      </c>
      <c r="H574" s="1">
        <v>2</v>
      </c>
      <c r="I574" s="2">
        <f>Tabelle1[[#This Row],[Base Price]]+Tabelle1[[#This Row],[Total Selling Costs
	]]+Tabelle1[[#This Row],[DHL Costs]]+Tabelle1[[#This Row],[Handling Costs]]+Tabelle1[[#This Row],[Fixed Costs]]</f>
        <v>25.918799999999997</v>
      </c>
      <c r="J574" s="1">
        <f>Tabelle1[[#This Row],[Net Sales Price]]-Tabelle1[[#This Row],[Variable Costs]]</f>
        <v>5.8523864406779715</v>
      </c>
    </row>
    <row r="575" spans="1:10" x14ac:dyDescent="0.25">
      <c r="A575" s="8" t="s">
        <v>583</v>
      </c>
      <c r="B575" s="1">
        <v>14.43</v>
      </c>
      <c r="C575" s="1">
        <v>4.5</v>
      </c>
      <c r="D575" s="1">
        <f>Tabelle1[[#This Row],[Gross Sales Price]]/1.18</f>
        <v>3.8135593220338984</v>
      </c>
      <c r="E575" s="1">
        <f>Tabelle1[[#This Row],[Gross Sales Price]]*0.12</f>
        <v>0.54</v>
      </c>
      <c r="F575" s="1">
        <v>0.4</v>
      </c>
      <c r="G575" s="1">
        <v>3</v>
      </c>
      <c r="H575" s="1">
        <v>2</v>
      </c>
      <c r="I575" s="2">
        <f>Tabelle1[[#This Row],[Base Price]]+Tabelle1[[#This Row],[Total Selling Costs
	]]+Tabelle1[[#This Row],[DHL Costs]]+Tabelle1[[#This Row],[Handling Costs]]+Tabelle1[[#This Row],[Fixed Costs]]</f>
        <v>20.369999999999997</v>
      </c>
      <c r="J575" s="1">
        <f>Tabelle1[[#This Row],[Net Sales Price]]-Tabelle1[[#This Row],[Variable Costs]]</f>
        <v>-16.556440677966098</v>
      </c>
    </row>
    <row r="576" spans="1:10" x14ac:dyDescent="0.25">
      <c r="A576" s="8" t="s">
        <v>584</v>
      </c>
      <c r="B576" s="1">
        <v>11.15</v>
      </c>
      <c r="C576" s="1">
        <v>34.270000000000003</v>
      </c>
      <c r="D576" s="1">
        <f>Tabelle1[[#This Row],[Gross Sales Price]]/1.18</f>
        <v>29.042372881355938</v>
      </c>
      <c r="E576" s="1">
        <f>Tabelle1[[#This Row],[Gross Sales Price]]*0.12</f>
        <v>4.1124000000000001</v>
      </c>
      <c r="F576" s="1">
        <v>0.4</v>
      </c>
      <c r="G576" s="1">
        <v>3</v>
      </c>
      <c r="H576" s="1">
        <v>2</v>
      </c>
      <c r="I576" s="2">
        <f>Tabelle1[[#This Row],[Base Price]]+Tabelle1[[#This Row],[Total Selling Costs
	]]+Tabelle1[[#This Row],[DHL Costs]]+Tabelle1[[#This Row],[Handling Costs]]+Tabelle1[[#This Row],[Fixed Costs]]</f>
        <v>20.662399999999998</v>
      </c>
      <c r="J576" s="1">
        <f>Tabelle1[[#This Row],[Net Sales Price]]-Tabelle1[[#This Row],[Variable Costs]]</f>
        <v>8.3799728813559398</v>
      </c>
    </row>
    <row r="577" spans="1:10" x14ac:dyDescent="0.25">
      <c r="A577" s="8" t="s">
        <v>585</v>
      </c>
      <c r="B577" s="1">
        <v>2.76</v>
      </c>
      <c r="C577" s="1">
        <v>22.94</v>
      </c>
      <c r="D577" s="1">
        <f>Tabelle1[[#This Row],[Gross Sales Price]]/1.18</f>
        <v>19.440677966101696</v>
      </c>
      <c r="E577" s="1">
        <f>Tabelle1[[#This Row],[Gross Sales Price]]*0.12</f>
        <v>2.7528000000000001</v>
      </c>
      <c r="F577" s="1">
        <v>0.4</v>
      </c>
      <c r="G577" s="1">
        <v>3</v>
      </c>
      <c r="H577" s="1">
        <v>2</v>
      </c>
      <c r="I577" s="2">
        <f>Tabelle1[[#This Row],[Base Price]]+Tabelle1[[#This Row],[Total Selling Costs
	]]+Tabelle1[[#This Row],[DHL Costs]]+Tabelle1[[#This Row],[Handling Costs]]+Tabelle1[[#This Row],[Fixed Costs]]</f>
        <v>10.912800000000001</v>
      </c>
      <c r="J577" s="1">
        <f>Tabelle1[[#This Row],[Net Sales Price]]-Tabelle1[[#This Row],[Variable Costs]]</f>
        <v>8.5278779661016948</v>
      </c>
    </row>
    <row r="578" spans="1:10" x14ac:dyDescent="0.25">
      <c r="A578" s="8" t="s">
        <v>586</v>
      </c>
      <c r="B578" s="1">
        <v>15.87</v>
      </c>
      <c r="C578" s="1">
        <v>18.239999999999998</v>
      </c>
      <c r="D578" s="1">
        <f>Tabelle1[[#This Row],[Gross Sales Price]]/1.18</f>
        <v>15.457627118644067</v>
      </c>
      <c r="E578" s="1">
        <f>Tabelle1[[#This Row],[Gross Sales Price]]*0.12</f>
        <v>2.1887999999999996</v>
      </c>
      <c r="F578" s="1">
        <v>0.4</v>
      </c>
      <c r="G578" s="1">
        <v>3</v>
      </c>
      <c r="H578" s="1">
        <v>2</v>
      </c>
      <c r="I578" s="2">
        <f>Tabelle1[[#This Row],[Base Price]]+Tabelle1[[#This Row],[Total Selling Costs
	]]+Tabelle1[[#This Row],[DHL Costs]]+Tabelle1[[#This Row],[Handling Costs]]+Tabelle1[[#This Row],[Fixed Costs]]</f>
        <v>23.458799999999997</v>
      </c>
      <c r="J578" s="1">
        <f>Tabelle1[[#This Row],[Net Sales Price]]-Tabelle1[[#This Row],[Variable Costs]]</f>
        <v>-8.0011728813559291</v>
      </c>
    </row>
    <row r="579" spans="1:10" x14ac:dyDescent="0.25">
      <c r="A579" s="8" t="s">
        <v>587</v>
      </c>
      <c r="B579" s="1">
        <v>9.52</v>
      </c>
      <c r="C579" s="1">
        <v>32.799999999999997</v>
      </c>
      <c r="D579" s="1">
        <f>Tabelle1[[#This Row],[Gross Sales Price]]/1.18</f>
        <v>27.796610169491526</v>
      </c>
      <c r="E579" s="1">
        <f>Tabelle1[[#This Row],[Gross Sales Price]]*0.12</f>
        <v>3.9359999999999995</v>
      </c>
      <c r="F579" s="1">
        <v>0.4</v>
      </c>
      <c r="G579" s="1">
        <v>3</v>
      </c>
      <c r="H579" s="1">
        <v>2</v>
      </c>
      <c r="I579" s="2">
        <f>Tabelle1[[#This Row],[Base Price]]+Tabelle1[[#This Row],[Total Selling Costs
	]]+Tabelle1[[#This Row],[DHL Costs]]+Tabelle1[[#This Row],[Handling Costs]]+Tabelle1[[#This Row],[Fixed Costs]]</f>
        <v>18.855999999999998</v>
      </c>
      <c r="J579" s="1">
        <f>Tabelle1[[#This Row],[Net Sales Price]]-Tabelle1[[#This Row],[Variable Costs]]</f>
        <v>8.9406101694915279</v>
      </c>
    </row>
    <row r="580" spans="1:10" x14ac:dyDescent="0.25">
      <c r="A580" s="8" t="s">
        <v>588</v>
      </c>
      <c r="B580" s="1">
        <v>11.47</v>
      </c>
      <c r="C580" s="1">
        <v>9.43</v>
      </c>
      <c r="D580" s="1">
        <f>Tabelle1[[#This Row],[Gross Sales Price]]/1.18</f>
        <v>7.991525423728814</v>
      </c>
      <c r="E580" s="1">
        <f>Tabelle1[[#This Row],[Gross Sales Price]]*0.12</f>
        <v>1.1315999999999999</v>
      </c>
      <c r="F580" s="1">
        <v>0.4</v>
      </c>
      <c r="G580" s="1">
        <v>3</v>
      </c>
      <c r="H580" s="1">
        <v>2</v>
      </c>
      <c r="I580" s="2">
        <f>Tabelle1[[#This Row],[Base Price]]+Tabelle1[[#This Row],[Total Selling Costs
	]]+Tabelle1[[#This Row],[DHL Costs]]+Tabelle1[[#This Row],[Handling Costs]]+Tabelle1[[#This Row],[Fixed Costs]]</f>
        <v>18.0016</v>
      </c>
      <c r="J580" s="1">
        <f>Tabelle1[[#This Row],[Net Sales Price]]-Tabelle1[[#This Row],[Variable Costs]]</f>
        <v>-10.010074576271187</v>
      </c>
    </row>
    <row r="581" spans="1:10" x14ac:dyDescent="0.25">
      <c r="A581" s="8" t="s">
        <v>589</v>
      </c>
      <c r="B581" s="1">
        <v>12.57</v>
      </c>
      <c r="C581" s="1">
        <v>30.65</v>
      </c>
      <c r="D581" s="1">
        <f>Tabelle1[[#This Row],[Gross Sales Price]]/1.18</f>
        <v>25.974576271186439</v>
      </c>
      <c r="E581" s="1">
        <f>Tabelle1[[#This Row],[Gross Sales Price]]*0.12</f>
        <v>3.6779999999999995</v>
      </c>
      <c r="F581" s="1">
        <v>0.4</v>
      </c>
      <c r="G581" s="1">
        <v>3</v>
      </c>
      <c r="H581" s="1">
        <v>2</v>
      </c>
      <c r="I581" s="2">
        <f>Tabelle1[[#This Row],[Base Price]]+Tabelle1[[#This Row],[Total Selling Costs
	]]+Tabelle1[[#This Row],[DHL Costs]]+Tabelle1[[#This Row],[Handling Costs]]+Tabelle1[[#This Row],[Fixed Costs]]</f>
        <v>21.648</v>
      </c>
      <c r="J581" s="1">
        <f>Tabelle1[[#This Row],[Net Sales Price]]-Tabelle1[[#This Row],[Variable Costs]]</f>
        <v>4.3265762711864397</v>
      </c>
    </row>
    <row r="582" spans="1:10" x14ac:dyDescent="0.25">
      <c r="A582" s="8" t="s">
        <v>590</v>
      </c>
      <c r="B582" s="1">
        <v>17.350000000000001</v>
      </c>
      <c r="C582" s="1">
        <v>35.6</v>
      </c>
      <c r="D582" s="1">
        <f>Tabelle1[[#This Row],[Gross Sales Price]]/1.18</f>
        <v>30.16949152542373</v>
      </c>
      <c r="E582" s="1">
        <f>Tabelle1[[#This Row],[Gross Sales Price]]*0.12</f>
        <v>4.2720000000000002</v>
      </c>
      <c r="F582" s="1">
        <v>0.4</v>
      </c>
      <c r="G582" s="1">
        <v>3</v>
      </c>
      <c r="H582" s="1">
        <v>2</v>
      </c>
      <c r="I582" s="2">
        <f>Tabelle1[[#This Row],[Base Price]]+Tabelle1[[#This Row],[Total Selling Costs
	]]+Tabelle1[[#This Row],[DHL Costs]]+Tabelle1[[#This Row],[Handling Costs]]+Tabelle1[[#This Row],[Fixed Costs]]</f>
        <v>27.021999999999998</v>
      </c>
      <c r="J582" s="1">
        <f>Tabelle1[[#This Row],[Net Sales Price]]-Tabelle1[[#This Row],[Variable Costs]]</f>
        <v>3.1474915254237317</v>
      </c>
    </row>
    <row r="583" spans="1:10" x14ac:dyDescent="0.25">
      <c r="A583" s="8" t="s">
        <v>591</v>
      </c>
      <c r="B583" s="1">
        <v>4.5599999999999996</v>
      </c>
      <c r="C583" s="1">
        <v>20.69</v>
      </c>
      <c r="D583" s="1">
        <f>Tabelle1[[#This Row],[Gross Sales Price]]/1.18</f>
        <v>17.533898305084747</v>
      </c>
      <c r="E583" s="1">
        <f>Tabelle1[[#This Row],[Gross Sales Price]]*0.12</f>
        <v>2.4828000000000001</v>
      </c>
      <c r="F583" s="1">
        <v>0.4</v>
      </c>
      <c r="G583" s="1">
        <v>3</v>
      </c>
      <c r="H583" s="1">
        <v>2</v>
      </c>
      <c r="I583" s="2">
        <f>Tabelle1[[#This Row],[Base Price]]+Tabelle1[[#This Row],[Total Selling Costs
	]]+Tabelle1[[#This Row],[DHL Costs]]+Tabelle1[[#This Row],[Handling Costs]]+Tabelle1[[#This Row],[Fixed Costs]]</f>
        <v>12.4428</v>
      </c>
      <c r="J583" s="1">
        <f>Tabelle1[[#This Row],[Net Sales Price]]-Tabelle1[[#This Row],[Variable Costs]]</f>
        <v>5.0910983050847474</v>
      </c>
    </row>
    <row r="584" spans="1:10" x14ac:dyDescent="0.25">
      <c r="A584" s="8" t="s">
        <v>592</v>
      </c>
      <c r="B584" s="1">
        <v>5.99</v>
      </c>
      <c r="C584" s="1">
        <v>31.73</v>
      </c>
      <c r="D584" s="1">
        <f>Tabelle1[[#This Row],[Gross Sales Price]]/1.18</f>
        <v>26.889830508474578</v>
      </c>
      <c r="E584" s="1">
        <f>Tabelle1[[#This Row],[Gross Sales Price]]*0.12</f>
        <v>3.8075999999999999</v>
      </c>
      <c r="F584" s="1">
        <v>0.4</v>
      </c>
      <c r="G584" s="1">
        <v>3</v>
      </c>
      <c r="H584" s="1">
        <v>2</v>
      </c>
      <c r="I584" s="2">
        <f>Tabelle1[[#This Row],[Base Price]]+Tabelle1[[#This Row],[Total Selling Costs
	]]+Tabelle1[[#This Row],[DHL Costs]]+Tabelle1[[#This Row],[Handling Costs]]+Tabelle1[[#This Row],[Fixed Costs]]</f>
        <v>15.1976</v>
      </c>
      <c r="J584" s="1">
        <f>Tabelle1[[#This Row],[Net Sales Price]]-Tabelle1[[#This Row],[Variable Costs]]</f>
        <v>11.692230508474578</v>
      </c>
    </row>
    <row r="585" spans="1:10" x14ac:dyDescent="0.25">
      <c r="A585" s="8" t="s">
        <v>593</v>
      </c>
      <c r="B585" s="1">
        <v>7.76</v>
      </c>
      <c r="C585" s="1">
        <v>16.05</v>
      </c>
      <c r="D585" s="1">
        <f>Tabelle1[[#This Row],[Gross Sales Price]]/1.18</f>
        <v>13.601694915254239</v>
      </c>
      <c r="E585" s="1">
        <f>Tabelle1[[#This Row],[Gross Sales Price]]*0.12</f>
        <v>1.9259999999999999</v>
      </c>
      <c r="F585" s="1">
        <v>0.4</v>
      </c>
      <c r="G585" s="1">
        <v>3</v>
      </c>
      <c r="H585" s="1">
        <v>2</v>
      </c>
      <c r="I585" s="2">
        <f>Tabelle1[[#This Row],[Base Price]]+Tabelle1[[#This Row],[Total Selling Costs
	]]+Tabelle1[[#This Row],[DHL Costs]]+Tabelle1[[#This Row],[Handling Costs]]+Tabelle1[[#This Row],[Fixed Costs]]</f>
        <v>15.086</v>
      </c>
      <c r="J585" s="1">
        <f>Tabelle1[[#This Row],[Net Sales Price]]-Tabelle1[[#This Row],[Variable Costs]]</f>
        <v>-1.4843050847457615</v>
      </c>
    </row>
    <row r="586" spans="1:10" x14ac:dyDescent="0.25">
      <c r="A586" s="8" t="s">
        <v>594</v>
      </c>
      <c r="B586" s="1">
        <v>16.66</v>
      </c>
      <c r="C586" s="1">
        <v>11.37</v>
      </c>
      <c r="D586" s="1">
        <f>Tabelle1[[#This Row],[Gross Sales Price]]/1.18</f>
        <v>9.6355932203389827</v>
      </c>
      <c r="E586" s="1">
        <f>Tabelle1[[#This Row],[Gross Sales Price]]*0.12</f>
        <v>1.3643999999999998</v>
      </c>
      <c r="F586" s="1">
        <v>0.4</v>
      </c>
      <c r="G586" s="1">
        <v>3</v>
      </c>
      <c r="H586" s="1">
        <v>2</v>
      </c>
      <c r="I586" s="2">
        <f>Tabelle1[[#This Row],[Base Price]]+Tabelle1[[#This Row],[Total Selling Costs
	]]+Tabelle1[[#This Row],[DHL Costs]]+Tabelle1[[#This Row],[Handling Costs]]+Tabelle1[[#This Row],[Fixed Costs]]</f>
        <v>23.424399999999999</v>
      </c>
      <c r="J586" s="1">
        <f>Tabelle1[[#This Row],[Net Sales Price]]-Tabelle1[[#This Row],[Variable Costs]]</f>
        <v>-13.788806779661016</v>
      </c>
    </row>
    <row r="587" spans="1:10" x14ac:dyDescent="0.25">
      <c r="A587" s="8" t="s">
        <v>595</v>
      </c>
      <c r="B587" s="1">
        <v>19.3</v>
      </c>
      <c r="C587" s="1">
        <v>29.93</v>
      </c>
      <c r="D587" s="1">
        <f>Tabelle1[[#This Row],[Gross Sales Price]]/1.18</f>
        <v>25.364406779661017</v>
      </c>
      <c r="E587" s="1">
        <f>Tabelle1[[#This Row],[Gross Sales Price]]*0.12</f>
        <v>3.5915999999999997</v>
      </c>
      <c r="F587" s="1">
        <v>0.4</v>
      </c>
      <c r="G587" s="1">
        <v>3</v>
      </c>
      <c r="H587" s="1">
        <v>2</v>
      </c>
      <c r="I587" s="2">
        <f>Tabelle1[[#This Row],[Base Price]]+Tabelle1[[#This Row],[Total Selling Costs
	]]+Tabelle1[[#This Row],[DHL Costs]]+Tabelle1[[#This Row],[Handling Costs]]+Tabelle1[[#This Row],[Fixed Costs]]</f>
        <v>28.291599999999999</v>
      </c>
      <c r="J587" s="1">
        <f>Tabelle1[[#This Row],[Net Sales Price]]-Tabelle1[[#This Row],[Variable Costs]]</f>
        <v>-2.9271932203389817</v>
      </c>
    </row>
    <row r="588" spans="1:10" x14ac:dyDescent="0.25">
      <c r="A588" s="8" t="s">
        <v>596</v>
      </c>
      <c r="B588" s="1">
        <v>7.23</v>
      </c>
      <c r="C588" s="1">
        <v>24.03</v>
      </c>
      <c r="D588" s="1">
        <f>Tabelle1[[#This Row],[Gross Sales Price]]/1.18</f>
        <v>20.364406779661017</v>
      </c>
      <c r="E588" s="1">
        <f>Tabelle1[[#This Row],[Gross Sales Price]]*0.12</f>
        <v>2.8835999999999999</v>
      </c>
      <c r="F588" s="1">
        <v>0.4</v>
      </c>
      <c r="G588" s="1">
        <v>3</v>
      </c>
      <c r="H588" s="1">
        <v>2</v>
      </c>
      <c r="I588" s="2">
        <f>Tabelle1[[#This Row],[Base Price]]+Tabelle1[[#This Row],[Total Selling Costs
	]]+Tabelle1[[#This Row],[DHL Costs]]+Tabelle1[[#This Row],[Handling Costs]]+Tabelle1[[#This Row],[Fixed Costs]]</f>
        <v>15.5136</v>
      </c>
      <c r="J588" s="1">
        <f>Tabelle1[[#This Row],[Net Sales Price]]-Tabelle1[[#This Row],[Variable Costs]]</f>
        <v>4.850806779661017</v>
      </c>
    </row>
    <row r="589" spans="1:10" x14ac:dyDescent="0.25">
      <c r="A589" s="8" t="s">
        <v>597</v>
      </c>
      <c r="B589" s="1">
        <v>9.08</v>
      </c>
      <c r="C589" s="1">
        <v>5.16</v>
      </c>
      <c r="D589" s="1">
        <f>Tabelle1[[#This Row],[Gross Sales Price]]/1.18</f>
        <v>4.3728813559322042</v>
      </c>
      <c r="E589" s="1">
        <f>Tabelle1[[#This Row],[Gross Sales Price]]*0.12</f>
        <v>0.61919999999999997</v>
      </c>
      <c r="F589" s="1">
        <v>0.4</v>
      </c>
      <c r="G589" s="1">
        <v>3</v>
      </c>
      <c r="H589" s="1">
        <v>2</v>
      </c>
      <c r="I589" s="2">
        <f>Tabelle1[[#This Row],[Base Price]]+Tabelle1[[#This Row],[Total Selling Costs
	]]+Tabelle1[[#This Row],[DHL Costs]]+Tabelle1[[#This Row],[Handling Costs]]+Tabelle1[[#This Row],[Fixed Costs]]</f>
        <v>15.0992</v>
      </c>
      <c r="J589" s="1">
        <f>Tabelle1[[#This Row],[Net Sales Price]]-Tabelle1[[#This Row],[Variable Costs]]</f>
        <v>-10.726318644067796</v>
      </c>
    </row>
    <row r="590" spans="1:10" x14ac:dyDescent="0.25">
      <c r="A590" s="8" t="s">
        <v>598</v>
      </c>
      <c r="B590" s="1">
        <v>13.35</v>
      </c>
      <c r="C590" s="1">
        <v>25.38</v>
      </c>
      <c r="D590" s="1">
        <f>Tabelle1[[#This Row],[Gross Sales Price]]/1.18</f>
        <v>21.508474576271187</v>
      </c>
      <c r="E590" s="1">
        <f>Tabelle1[[#This Row],[Gross Sales Price]]*0.12</f>
        <v>3.0455999999999999</v>
      </c>
      <c r="F590" s="1">
        <v>0.4</v>
      </c>
      <c r="G590" s="1">
        <v>3</v>
      </c>
      <c r="H590" s="1">
        <v>2</v>
      </c>
      <c r="I590" s="2">
        <f>Tabelle1[[#This Row],[Base Price]]+Tabelle1[[#This Row],[Total Selling Costs
	]]+Tabelle1[[#This Row],[DHL Costs]]+Tabelle1[[#This Row],[Handling Costs]]+Tabelle1[[#This Row],[Fixed Costs]]</f>
        <v>21.795599999999997</v>
      </c>
      <c r="J590" s="1">
        <f>Tabelle1[[#This Row],[Net Sales Price]]-Tabelle1[[#This Row],[Variable Costs]]</f>
        <v>-0.28712542372880989</v>
      </c>
    </row>
    <row r="591" spans="1:10" x14ac:dyDescent="0.25">
      <c r="A591" s="8" t="s">
        <v>599</v>
      </c>
      <c r="B591" s="1">
        <v>8.39</v>
      </c>
      <c r="C591" s="1">
        <v>25.87</v>
      </c>
      <c r="D591" s="1">
        <f>Tabelle1[[#This Row],[Gross Sales Price]]/1.18</f>
        <v>21.923728813559325</v>
      </c>
      <c r="E591" s="1">
        <f>Tabelle1[[#This Row],[Gross Sales Price]]*0.12</f>
        <v>3.1044</v>
      </c>
      <c r="F591" s="1">
        <v>0.4</v>
      </c>
      <c r="G591" s="1">
        <v>3</v>
      </c>
      <c r="H591" s="1">
        <v>2</v>
      </c>
      <c r="I591" s="2">
        <f>Tabelle1[[#This Row],[Base Price]]+Tabelle1[[#This Row],[Total Selling Costs
	]]+Tabelle1[[#This Row],[DHL Costs]]+Tabelle1[[#This Row],[Handling Costs]]+Tabelle1[[#This Row],[Fixed Costs]]</f>
        <v>16.894399999999997</v>
      </c>
      <c r="J591" s="1">
        <f>Tabelle1[[#This Row],[Net Sales Price]]-Tabelle1[[#This Row],[Variable Costs]]</f>
        <v>5.0293288135593279</v>
      </c>
    </row>
    <row r="592" spans="1:10" x14ac:dyDescent="0.25">
      <c r="A592" s="8" t="s">
        <v>600</v>
      </c>
      <c r="B592" s="1">
        <v>2.29</v>
      </c>
      <c r="C592" s="1">
        <v>26.06</v>
      </c>
      <c r="D592" s="1">
        <f>Tabelle1[[#This Row],[Gross Sales Price]]/1.18</f>
        <v>22.084745762711865</v>
      </c>
      <c r="E592" s="1">
        <f>Tabelle1[[#This Row],[Gross Sales Price]]*0.12</f>
        <v>3.1271999999999998</v>
      </c>
      <c r="F592" s="1">
        <v>0.4</v>
      </c>
      <c r="G592" s="1">
        <v>3</v>
      </c>
      <c r="H592" s="1">
        <v>2</v>
      </c>
      <c r="I592" s="2">
        <f>Tabelle1[[#This Row],[Base Price]]+Tabelle1[[#This Row],[Total Selling Costs
	]]+Tabelle1[[#This Row],[DHL Costs]]+Tabelle1[[#This Row],[Handling Costs]]+Tabelle1[[#This Row],[Fixed Costs]]</f>
        <v>10.8172</v>
      </c>
      <c r="J592" s="1">
        <f>Tabelle1[[#This Row],[Net Sales Price]]-Tabelle1[[#This Row],[Variable Costs]]</f>
        <v>11.267545762711865</v>
      </c>
    </row>
    <row r="593" spans="1:10" x14ac:dyDescent="0.25">
      <c r="A593" s="8" t="s">
        <v>601</v>
      </c>
      <c r="B593" s="1">
        <v>1.54</v>
      </c>
      <c r="C593" s="1">
        <v>2.41</v>
      </c>
      <c r="D593" s="1">
        <f>Tabelle1[[#This Row],[Gross Sales Price]]/1.18</f>
        <v>2.0423728813559325</v>
      </c>
      <c r="E593" s="1">
        <f>Tabelle1[[#This Row],[Gross Sales Price]]*0.12</f>
        <v>0.28920000000000001</v>
      </c>
      <c r="F593" s="1">
        <v>0.4</v>
      </c>
      <c r="G593" s="1">
        <v>3</v>
      </c>
      <c r="H593" s="1">
        <v>2</v>
      </c>
      <c r="I593" s="2">
        <f>Tabelle1[[#This Row],[Base Price]]+Tabelle1[[#This Row],[Total Selling Costs
	]]+Tabelle1[[#This Row],[DHL Costs]]+Tabelle1[[#This Row],[Handling Costs]]+Tabelle1[[#This Row],[Fixed Costs]]</f>
        <v>7.2292000000000005</v>
      </c>
      <c r="J593" s="1">
        <f>Tabelle1[[#This Row],[Net Sales Price]]-Tabelle1[[#This Row],[Variable Costs]]</f>
        <v>-5.186827118644068</v>
      </c>
    </row>
    <row r="594" spans="1:10" x14ac:dyDescent="0.25">
      <c r="A594" s="8" t="s">
        <v>602</v>
      </c>
      <c r="B594" s="1">
        <v>17.32</v>
      </c>
      <c r="C594" s="1">
        <v>25.89</v>
      </c>
      <c r="D594" s="1">
        <f>Tabelle1[[#This Row],[Gross Sales Price]]/1.18</f>
        <v>21.940677966101696</v>
      </c>
      <c r="E594" s="1">
        <f>Tabelle1[[#This Row],[Gross Sales Price]]*0.12</f>
        <v>3.1067999999999998</v>
      </c>
      <c r="F594" s="1">
        <v>0.4</v>
      </c>
      <c r="G594" s="1">
        <v>3</v>
      </c>
      <c r="H594" s="1">
        <v>2</v>
      </c>
      <c r="I594" s="2">
        <f>Tabelle1[[#This Row],[Base Price]]+Tabelle1[[#This Row],[Total Selling Costs
	]]+Tabelle1[[#This Row],[DHL Costs]]+Tabelle1[[#This Row],[Handling Costs]]+Tabelle1[[#This Row],[Fixed Costs]]</f>
        <v>25.826799999999999</v>
      </c>
      <c r="J594" s="1">
        <f>Tabelle1[[#This Row],[Net Sales Price]]-Tabelle1[[#This Row],[Variable Costs]]</f>
        <v>-3.8861220338983031</v>
      </c>
    </row>
    <row r="595" spans="1:10" x14ac:dyDescent="0.25">
      <c r="A595" s="8" t="s">
        <v>603</v>
      </c>
      <c r="B595" s="1">
        <v>13.4</v>
      </c>
      <c r="C595" s="1">
        <v>33.99</v>
      </c>
      <c r="D595" s="1">
        <f>Tabelle1[[#This Row],[Gross Sales Price]]/1.18</f>
        <v>28.805084745762716</v>
      </c>
      <c r="E595" s="1">
        <f>Tabelle1[[#This Row],[Gross Sales Price]]*0.12</f>
        <v>4.0788000000000002</v>
      </c>
      <c r="F595" s="1">
        <v>0.4</v>
      </c>
      <c r="G595" s="1">
        <v>3</v>
      </c>
      <c r="H595" s="1">
        <v>2</v>
      </c>
      <c r="I595" s="2">
        <f>Tabelle1[[#This Row],[Base Price]]+Tabelle1[[#This Row],[Total Selling Costs
	]]+Tabelle1[[#This Row],[DHL Costs]]+Tabelle1[[#This Row],[Handling Costs]]+Tabelle1[[#This Row],[Fixed Costs]]</f>
        <v>22.878799999999998</v>
      </c>
      <c r="J595" s="1">
        <f>Tabelle1[[#This Row],[Net Sales Price]]-Tabelle1[[#This Row],[Variable Costs]]</f>
        <v>5.9262847457627181</v>
      </c>
    </row>
    <row r="596" spans="1:10" x14ac:dyDescent="0.25">
      <c r="A596" s="8" t="s">
        <v>604</v>
      </c>
      <c r="B596" s="1">
        <v>2.87</v>
      </c>
      <c r="C596" s="1">
        <v>23.39</v>
      </c>
      <c r="D596" s="1">
        <f>Tabelle1[[#This Row],[Gross Sales Price]]/1.18</f>
        <v>19.822033898305087</v>
      </c>
      <c r="E596" s="1">
        <f>Tabelle1[[#This Row],[Gross Sales Price]]*0.12</f>
        <v>2.8068</v>
      </c>
      <c r="F596" s="1">
        <v>0.4</v>
      </c>
      <c r="G596" s="1">
        <v>3</v>
      </c>
      <c r="H596" s="1">
        <v>2</v>
      </c>
      <c r="I596" s="2">
        <f>Tabelle1[[#This Row],[Base Price]]+Tabelle1[[#This Row],[Total Selling Costs
	]]+Tabelle1[[#This Row],[DHL Costs]]+Tabelle1[[#This Row],[Handling Costs]]+Tabelle1[[#This Row],[Fixed Costs]]</f>
        <v>11.0768</v>
      </c>
      <c r="J596" s="1">
        <f>Tabelle1[[#This Row],[Net Sales Price]]-Tabelle1[[#This Row],[Variable Costs]]</f>
        <v>8.7452338983050861</v>
      </c>
    </row>
    <row r="597" spans="1:10" x14ac:dyDescent="0.25">
      <c r="A597" s="8" t="s">
        <v>605</v>
      </c>
      <c r="B597" s="1">
        <v>11.79</v>
      </c>
      <c r="C597" s="1">
        <v>4.45</v>
      </c>
      <c r="D597" s="1">
        <f>Tabelle1[[#This Row],[Gross Sales Price]]/1.18</f>
        <v>3.7711864406779663</v>
      </c>
      <c r="E597" s="1">
        <f>Tabelle1[[#This Row],[Gross Sales Price]]*0.12</f>
        <v>0.53400000000000003</v>
      </c>
      <c r="F597" s="1">
        <v>0.4</v>
      </c>
      <c r="G597" s="1">
        <v>3</v>
      </c>
      <c r="H597" s="1">
        <v>2</v>
      </c>
      <c r="I597" s="2">
        <f>Tabelle1[[#This Row],[Base Price]]+Tabelle1[[#This Row],[Total Selling Costs
	]]+Tabelle1[[#This Row],[DHL Costs]]+Tabelle1[[#This Row],[Handling Costs]]+Tabelle1[[#This Row],[Fixed Costs]]</f>
        <v>17.723999999999997</v>
      </c>
      <c r="J597" s="1">
        <f>Tabelle1[[#This Row],[Net Sales Price]]-Tabelle1[[#This Row],[Variable Costs]]</f>
        <v>-13.952813559322031</v>
      </c>
    </row>
    <row r="598" spans="1:10" x14ac:dyDescent="0.25">
      <c r="A598" s="8" t="s">
        <v>606</v>
      </c>
      <c r="B598" s="1">
        <v>19.579999999999998</v>
      </c>
      <c r="C598" s="1">
        <v>22.96</v>
      </c>
      <c r="D598" s="1">
        <f>Tabelle1[[#This Row],[Gross Sales Price]]/1.18</f>
        <v>19.457627118644069</v>
      </c>
      <c r="E598" s="1">
        <f>Tabelle1[[#This Row],[Gross Sales Price]]*0.12</f>
        <v>2.7551999999999999</v>
      </c>
      <c r="F598" s="1">
        <v>0.4</v>
      </c>
      <c r="G598" s="1">
        <v>3</v>
      </c>
      <c r="H598" s="1">
        <v>2</v>
      </c>
      <c r="I598" s="2">
        <f>Tabelle1[[#This Row],[Base Price]]+Tabelle1[[#This Row],[Total Selling Costs
	]]+Tabelle1[[#This Row],[DHL Costs]]+Tabelle1[[#This Row],[Handling Costs]]+Tabelle1[[#This Row],[Fixed Costs]]</f>
        <v>27.735199999999995</v>
      </c>
      <c r="J598" s="1">
        <f>Tabelle1[[#This Row],[Net Sales Price]]-Tabelle1[[#This Row],[Variable Costs]]</f>
        <v>-8.2775728813559262</v>
      </c>
    </row>
    <row r="599" spans="1:10" x14ac:dyDescent="0.25">
      <c r="A599" s="8" t="s">
        <v>607</v>
      </c>
      <c r="B599" s="1">
        <v>4.1900000000000004</v>
      </c>
      <c r="C599" s="1">
        <v>39.950000000000003</v>
      </c>
      <c r="D599" s="1">
        <f>Tabelle1[[#This Row],[Gross Sales Price]]/1.18</f>
        <v>33.855932203389834</v>
      </c>
      <c r="E599" s="1">
        <f>Tabelle1[[#This Row],[Gross Sales Price]]*0.12</f>
        <v>4.7940000000000005</v>
      </c>
      <c r="F599" s="1">
        <v>0.4</v>
      </c>
      <c r="G599" s="1">
        <v>3</v>
      </c>
      <c r="H599" s="1">
        <v>2</v>
      </c>
      <c r="I599" s="2">
        <f>Tabelle1[[#This Row],[Base Price]]+Tabelle1[[#This Row],[Total Selling Costs
	]]+Tabelle1[[#This Row],[DHL Costs]]+Tabelle1[[#This Row],[Handling Costs]]+Tabelle1[[#This Row],[Fixed Costs]]</f>
        <v>14.384000000000002</v>
      </c>
      <c r="J599" s="1">
        <f>Tabelle1[[#This Row],[Net Sales Price]]-Tabelle1[[#This Row],[Variable Costs]]</f>
        <v>19.471932203389834</v>
      </c>
    </row>
    <row r="600" spans="1:10" x14ac:dyDescent="0.25">
      <c r="A600" s="8" t="s">
        <v>608</v>
      </c>
      <c r="B600" s="1">
        <v>3.86</v>
      </c>
      <c r="C600" s="1">
        <v>32.43</v>
      </c>
      <c r="D600" s="1">
        <f>Tabelle1[[#This Row],[Gross Sales Price]]/1.18</f>
        <v>27.48305084745763</v>
      </c>
      <c r="E600" s="1">
        <f>Tabelle1[[#This Row],[Gross Sales Price]]*0.12</f>
        <v>3.8915999999999999</v>
      </c>
      <c r="F600" s="1">
        <v>0.4</v>
      </c>
      <c r="G600" s="1">
        <v>3</v>
      </c>
      <c r="H600" s="1">
        <v>2</v>
      </c>
      <c r="I600" s="2">
        <f>Tabelle1[[#This Row],[Base Price]]+Tabelle1[[#This Row],[Total Selling Costs
	]]+Tabelle1[[#This Row],[DHL Costs]]+Tabelle1[[#This Row],[Handling Costs]]+Tabelle1[[#This Row],[Fixed Costs]]</f>
        <v>13.1516</v>
      </c>
      <c r="J600" s="1">
        <f>Tabelle1[[#This Row],[Net Sales Price]]-Tabelle1[[#This Row],[Variable Costs]]</f>
        <v>14.33145084745763</v>
      </c>
    </row>
    <row r="601" spans="1:10" x14ac:dyDescent="0.25">
      <c r="A601" s="8" t="s">
        <v>609</v>
      </c>
      <c r="B601" s="1">
        <v>17.38</v>
      </c>
      <c r="C601" s="1">
        <v>31.76</v>
      </c>
      <c r="D601" s="1">
        <f>Tabelle1[[#This Row],[Gross Sales Price]]/1.18</f>
        <v>26.915254237288138</v>
      </c>
      <c r="E601" s="1">
        <f>Tabelle1[[#This Row],[Gross Sales Price]]*0.12</f>
        <v>3.8111999999999999</v>
      </c>
      <c r="F601" s="1">
        <v>0.4</v>
      </c>
      <c r="G601" s="1">
        <v>3</v>
      </c>
      <c r="H601" s="1">
        <v>2</v>
      </c>
      <c r="I601" s="2">
        <f>Tabelle1[[#This Row],[Base Price]]+Tabelle1[[#This Row],[Total Selling Costs
	]]+Tabelle1[[#This Row],[DHL Costs]]+Tabelle1[[#This Row],[Handling Costs]]+Tabelle1[[#This Row],[Fixed Costs]]</f>
        <v>26.591199999999997</v>
      </c>
      <c r="J601" s="1">
        <f>Tabelle1[[#This Row],[Net Sales Price]]-Tabelle1[[#This Row],[Variable Costs]]</f>
        <v>0.32405423728814142</v>
      </c>
    </row>
    <row r="602" spans="1:10" x14ac:dyDescent="0.25">
      <c r="A602" s="8" t="s">
        <v>610</v>
      </c>
      <c r="B602" s="1">
        <v>17.93</v>
      </c>
      <c r="C602" s="1">
        <v>33.4</v>
      </c>
      <c r="D602" s="1">
        <f>Tabelle1[[#This Row],[Gross Sales Price]]/1.18</f>
        <v>28.305084745762713</v>
      </c>
      <c r="E602" s="1">
        <f>Tabelle1[[#This Row],[Gross Sales Price]]*0.12</f>
        <v>4.008</v>
      </c>
      <c r="F602" s="1">
        <v>0.4</v>
      </c>
      <c r="G602" s="1">
        <v>3</v>
      </c>
      <c r="H602" s="1">
        <v>2</v>
      </c>
      <c r="I602" s="2">
        <f>Tabelle1[[#This Row],[Base Price]]+Tabelle1[[#This Row],[Total Selling Costs
	]]+Tabelle1[[#This Row],[DHL Costs]]+Tabelle1[[#This Row],[Handling Costs]]+Tabelle1[[#This Row],[Fixed Costs]]</f>
        <v>27.337999999999997</v>
      </c>
      <c r="J602" s="1">
        <f>Tabelle1[[#This Row],[Net Sales Price]]-Tabelle1[[#This Row],[Variable Costs]]</f>
        <v>0.96708474576271541</v>
      </c>
    </row>
    <row r="603" spans="1:10" x14ac:dyDescent="0.25">
      <c r="A603" s="8" t="s">
        <v>611</v>
      </c>
      <c r="B603" s="1">
        <v>9.56</v>
      </c>
      <c r="C603" s="1">
        <v>39.65</v>
      </c>
      <c r="D603" s="1">
        <f>Tabelle1[[#This Row],[Gross Sales Price]]/1.18</f>
        <v>33.601694915254235</v>
      </c>
      <c r="E603" s="1">
        <f>Tabelle1[[#This Row],[Gross Sales Price]]*0.12</f>
        <v>4.758</v>
      </c>
      <c r="F603" s="1">
        <v>0.4</v>
      </c>
      <c r="G603" s="1">
        <v>3</v>
      </c>
      <c r="H603" s="1">
        <v>2</v>
      </c>
      <c r="I603" s="2">
        <f>Tabelle1[[#This Row],[Base Price]]+Tabelle1[[#This Row],[Total Selling Costs
	]]+Tabelle1[[#This Row],[DHL Costs]]+Tabelle1[[#This Row],[Handling Costs]]+Tabelle1[[#This Row],[Fixed Costs]]</f>
        <v>19.718</v>
      </c>
      <c r="J603" s="1">
        <f>Tabelle1[[#This Row],[Net Sales Price]]-Tabelle1[[#This Row],[Variable Costs]]</f>
        <v>13.883694915254235</v>
      </c>
    </row>
    <row r="604" spans="1:10" x14ac:dyDescent="0.25">
      <c r="A604" s="8" t="s">
        <v>612</v>
      </c>
      <c r="B604" s="1">
        <v>10.119999999999999</v>
      </c>
      <c r="C604" s="1">
        <v>24.36</v>
      </c>
      <c r="D604" s="1">
        <f>Tabelle1[[#This Row],[Gross Sales Price]]/1.18</f>
        <v>20.64406779661017</v>
      </c>
      <c r="E604" s="1">
        <f>Tabelle1[[#This Row],[Gross Sales Price]]*0.12</f>
        <v>2.9232</v>
      </c>
      <c r="F604" s="1">
        <v>0.4</v>
      </c>
      <c r="G604" s="1">
        <v>3</v>
      </c>
      <c r="H604" s="1">
        <v>2</v>
      </c>
      <c r="I604" s="2">
        <f>Tabelle1[[#This Row],[Base Price]]+Tabelle1[[#This Row],[Total Selling Costs
	]]+Tabelle1[[#This Row],[DHL Costs]]+Tabelle1[[#This Row],[Handling Costs]]+Tabelle1[[#This Row],[Fixed Costs]]</f>
        <v>18.443199999999997</v>
      </c>
      <c r="J604" s="1">
        <f>Tabelle1[[#This Row],[Net Sales Price]]-Tabelle1[[#This Row],[Variable Costs]]</f>
        <v>2.2008677966101722</v>
      </c>
    </row>
    <row r="605" spans="1:10" x14ac:dyDescent="0.25">
      <c r="A605" s="8" t="s">
        <v>613</v>
      </c>
      <c r="B605" s="1">
        <v>5.0599999999999996</v>
      </c>
      <c r="C605" s="1">
        <v>39.08</v>
      </c>
      <c r="D605" s="1">
        <f>Tabelle1[[#This Row],[Gross Sales Price]]/1.18</f>
        <v>33.118644067796609</v>
      </c>
      <c r="E605" s="1">
        <f>Tabelle1[[#This Row],[Gross Sales Price]]*0.12</f>
        <v>4.6895999999999995</v>
      </c>
      <c r="F605" s="1">
        <v>0.4</v>
      </c>
      <c r="G605" s="1">
        <v>3</v>
      </c>
      <c r="H605" s="1">
        <v>2</v>
      </c>
      <c r="I605" s="2">
        <f>Tabelle1[[#This Row],[Base Price]]+Tabelle1[[#This Row],[Total Selling Costs
	]]+Tabelle1[[#This Row],[DHL Costs]]+Tabelle1[[#This Row],[Handling Costs]]+Tabelle1[[#This Row],[Fixed Costs]]</f>
        <v>15.1496</v>
      </c>
      <c r="J605" s="1">
        <f>Tabelle1[[#This Row],[Net Sales Price]]-Tabelle1[[#This Row],[Variable Costs]]</f>
        <v>17.969044067796609</v>
      </c>
    </row>
    <row r="606" spans="1:10" x14ac:dyDescent="0.25">
      <c r="A606" s="8" t="s">
        <v>614</v>
      </c>
      <c r="B606" s="1">
        <v>4.4000000000000004</v>
      </c>
      <c r="C606" s="1">
        <v>23.22</v>
      </c>
      <c r="D606" s="1">
        <f>Tabelle1[[#This Row],[Gross Sales Price]]/1.18</f>
        <v>19.677966101694917</v>
      </c>
      <c r="E606" s="1">
        <f>Tabelle1[[#This Row],[Gross Sales Price]]*0.12</f>
        <v>2.7863999999999995</v>
      </c>
      <c r="F606" s="1">
        <v>0.4</v>
      </c>
      <c r="G606" s="1">
        <v>3</v>
      </c>
      <c r="H606" s="1">
        <v>2</v>
      </c>
      <c r="I606" s="2">
        <f>Tabelle1[[#This Row],[Base Price]]+Tabelle1[[#This Row],[Total Selling Costs
	]]+Tabelle1[[#This Row],[DHL Costs]]+Tabelle1[[#This Row],[Handling Costs]]+Tabelle1[[#This Row],[Fixed Costs]]</f>
        <v>12.586399999999999</v>
      </c>
      <c r="J606" s="1">
        <f>Tabelle1[[#This Row],[Net Sales Price]]-Tabelle1[[#This Row],[Variable Costs]]</f>
        <v>7.0915661016949176</v>
      </c>
    </row>
    <row r="607" spans="1:10" x14ac:dyDescent="0.25">
      <c r="A607" s="8" t="s">
        <v>615</v>
      </c>
      <c r="B607" s="1">
        <v>1.62</v>
      </c>
      <c r="C607" s="1">
        <v>27.11</v>
      </c>
      <c r="D607" s="1">
        <f>Tabelle1[[#This Row],[Gross Sales Price]]/1.18</f>
        <v>22.974576271186443</v>
      </c>
      <c r="E607" s="1">
        <f>Tabelle1[[#This Row],[Gross Sales Price]]*0.12</f>
        <v>3.2531999999999996</v>
      </c>
      <c r="F607" s="1">
        <v>0.4</v>
      </c>
      <c r="G607" s="1">
        <v>3</v>
      </c>
      <c r="H607" s="1">
        <v>2</v>
      </c>
      <c r="I607" s="2">
        <f>Tabelle1[[#This Row],[Base Price]]+Tabelle1[[#This Row],[Total Selling Costs
	]]+Tabelle1[[#This Row],[DHL Costs]]+Tabelle1[[#This Row],[Handling Costs]]+Tabelle1[[#This Row],[Fixed Costs]]</f>
        <v>10.273200000000001</v>
      </c>
      <c r="J607" s="1">
        <f>Tabelle1[[#This Row],[Net Sales Price]]-Tabelle1[[#This Row],[Variable Costs]]</f>
        <v>12.701376271186442</v>
      </c>
    </row>
    <row r="608" spans="1:10" x14ac:dyDescent="0.25">
      <c r="A608" s="8" t="s">
        <v>616</v>
      </c>
      <c r="B608" s="1">
        <v>14.64</v>
      </c>
      <c r="C608" s="1">
        <v>25.4</v>
      </c>
      <c r="D608" s="1">
        <f>Tabelle1[[#This Row],[Gross Sales Price]]/1.18</f>
        <v>21.525423728813561</v>
      </c>
      <c r="E608" s="1">
        <f>Tabelle1[[#This Row],[Gross Sales Price]]*0.12</f>
        <v>3.0479999999999996</v>
      </c>
      <c r="F608" s="1">
        <v>0.4</v>
      </c>
      <c r="G608" s="1">
        <v>3</v>
      </c>
      <c r="H608" s="1">
        <v>2</v>
      </c>
      <c r="I608" s="2">
        <f>Tabelle1[[#This Row],[Base Price]]+Tabelle1[[#This Row],[Total Selling Costs
	]]+Tabelle1[[#This Row],[DHL Costs]]+Tabelle1[[#This Row],[Handling Costs]]+Tabelle1[[#This Row],[Fixed Costs]]</f>
        <v>23.087999999999997</v>
      </c>
      <c r="J608" s="1">
        <f>Tabelle1[[#This Row],[Net Sales Price]]-Tabelle1[[#This Row],[Variable Costs]]</f>
        <v>-1.5625762711864368</v>
      </c>
    </row>
    <row r="609" spans="1:10" x14ac:dyDescent="0.25">
      <c r="A609" s="8" t="s">
        <v>617</v>
      </c>
      <c r="B609" s="1">
        <v>2.96</v>
      </c>
      <c r="C609" s="1">
        <v>24.35</v>
      </c>
      <c r="D609" s="1">
        <f>Tabelle1[[#This Row],[Gross Sales Price]]/1.18</f>
        <v>20.635593220338986</v>
      </c>
      <c r="E609" s="1">
        <f>Tabelle1[[#This Row],[Gross Sales Price]]*0.12</f>
        <v>2.9220000000000002</v>
      </c>
      <c r="F609" s="1">
        <v>0.4</v>
      </c>
      <c r="G609" s="1">
        <v>3</v>
      </c>
      <c r="H609" s="1">
        <v>2</v>
      </c>
      <c r="I609" s="2">
        <f>Tabelle1[[#This Row],[Base Price]]+Tabelle1[[#This Row],[Total Selling Costs
	]]+Tabelle1[[#This Row],[DHL Costs]]+Tabelle1[[#This Row],[Handling Costs]]+Tabelle1[[#This Row],[Fixed Costs]]</f>
        <v>11.282</v>
      </c>
      <c r="J609" s="1">
        <f>Tabelle1[[#This Row],[Net Sales Price]]-Tabelle1[[#This Row],[Variable Costs]]</f>
        <v>9.3535932203389862</v>
      </c>
    </row>
    <row r="610" spans="1:10" x14ac:dyDescent="0.25">
      <c r="A610" s="8" t="s">
        <v>618</v>
      </c>
      <c r="B610" s="1">
        <v>1.23</v>
      </c>
      <c r="C610" s="1">
        <v>4.43</v>
      </c>
      <c r="D610" s="1">
        <f>Tabelle1[[#This Row],[Gross Sales Price]]/1.18</f>
        <v>3.754237288135593</v>
      </c>
      <c r="E610" s="1">
        <f>Tabelle1[[#This Row],[Gross Sales Price]]*0.12</f>
        <v>0.53159999999999996</v>
      </c>
      <c r="F610" s="1">
        <v>0.4</v>
      </c>
      <c r="G610" s="1">
        <v>3</v>
      </c>
      <c r="H610" s="1">
        <v>2</v>
      </c>
      <c r="I610" s="2">
        <f>Tabelle1[[#This Row],[Base Price]]+Tabelle1[[#This Row],[Total Selling Costs
	]]+Tabelle1[[#This Row],[DHL Costs]]+Tabelle1[[#This Row],[Handling Costs]]+Tabelle1[[#This Row],[Fixed Costs]]</f>
        <v>7.1616</v>
      </c>
      <c r="J610" s="1">
        <f>Tabelle1[[#This Row],[Net Sales Price]]-Tabelle1[[#This Row],[Variable Costs]]</f>
        <v>-3.407362711864407</v>
      </c>
    </row>
    <row r="611" spans="1:10" x14ac:dyDescent="0.25">
      <c r="A611" s="8" t="s">
        <v>619</v>
      </c>
      <c r="B611" s="1">
        <v>13.55</v>
      </c>
      <c r="C611" s="1">
        <v>23.48</v>
      </c>
      <c r="D611" s="1">
        <f>Tabelle1[[#This Row],[Gross Sales Price]]/1.18</f>
        <v>19.898305084745765</v>
      </c>
      <c r="E611" s="1">
        <f>Tabelle1[[#This Row],[Gross Sales Price]]*0.12</f>
        <v>2.8176000000000001</v>
      </c>
      <c r="F611" s="1">
        <v>0.4</v>
      </c>
      <c r="G611" s="1">
        <v>3</v>
      </c>
      <c r="H611" s="1">
        <v>2</v>
      </c>
      <c r="I611" s="2">
        <f>Tabelle1[[#This Row],[Base Price]]+Tabelle1[[#This Row],[Total Selling Costs
	]]+Tabelle1[[#This Row],[DHL Costs]]+Tabelle1[[#This Row],[Handling Costs]]+Tabelle1[[#This Row],[Fixed Costs]]</f>
        <v>21.767599999999998</v>
      </c>
      <c r="J611" s="1">
        <f>Tabelle1[[#This Row],[Net Sales Price]]-Tabelle1[[#This Row],[Variable Costs]]</f>
        <v>-1.8692949152542333</v>
      </c>
    </row>
    <row r="612" spans="1:10" x14ac:dyDescent="0.25">
      <c r="A612" s="8" t="s">
        <v>620</v>
      </c>
      <c r="B612" s="1">
        <v>13.23</v>
      </c>
      <c r="C612" s="1">
        <v>17.71</v>
      </c>
      <c r="D612" s="1">
        <f>Tabelle1[[#This Row],[Gross Sales Price]]/1.18</f>
        <v>15.008474576271189</v>
      </c>
      <c r="E612" s="1">
        <f>Tabelle1[[#This Row],[Gross Sales Price]]*0.12</f>
        <v>2.1252</v>
      </c>
      <c r="F612" s="1">
        <v>0.4</v>
      </c>
      <c r="G612" s="1">
        <v>3</v>
      </c>
      <c r="H612" s="1">
        <v>2</v>
      </c>
      <c r="I612" s="2">
        <f>Tabelle1[[#This Row],[Base Price]]+Tabelle1[[#This Row],[Total Selling Costs
	]]+Tabelle1[[#This Row],[DHL Costs]]+Tabelle1[[#This Row],[Handling Costs]]+Tabelle1[[#This Row],[Fixed Costs]]</f>
        <v>20.755199999999999</v>
      </c>
      <c r="J612" s="1">
        <f>Tabelle1[[#This Row],[Net Sales Price]]-Tabelle1[[#This Row],[Variable Costs]]</f>
        <v>-5.7467254237288099</v>
      </c>
    </row>
    <row r="613" spans="1:10" x14ac:dyDescent="0.25">
      <c r="A613" s="8" t="s">
        <v>621</v>
      </c>
      <c r="B613" s="1">
        <v>13.9</v>
      </c>
      <c r="C613" s="1">
        <v>16.95</v>
      </c>
      <c r="D613" s="1">
        <f>Tabelle1[[#This Row],[Gross Sales Price]]/1.18</f>
        <v>14.364406779661017</v>
      </c>
      <c r="E613" s="1">
        <f>Tabelle1[[#This Row],[Gross Sales Price]]*0.12</f>
        <v>2.0339999999999998</v>
      </c>
      <c r="F613" s="1">
        <v>0.4</v>
      </c>
      <c r="G613" s="1">
        <v>3</v>
      </c>
      <c r="H613" s="1">
        <v>2</v>
      </c>
      <c r="I613" s="2">
        <f>Tabelle1[[#This Row],[Base Price]]+Tabelle1[[#This Row],[Total Selling Costs
	]]+Tabelle1[[#This Row],[DHL Costs]]+Tabelle1[[#This Row],[Handling Costs]]+Tabelle1[[#This Row],[Fixed Costs]]</f>
        <v>21.334</v>
      </c>
      <c r="J613" s="1">
        <f>Tabelle1[[#This Row],[Net Sales Price]]-Tabelle1[[#This Row],[Variable Costs]]</f>
        <v>-6.9695932203389823</v>
      </c>
    </row>
    <row r="614" spans="1:10" x14ac:dyDescent="0.25">
      <c r="A614" s="8" t="s">
        <v>622</v>
      </c>
      <c r="B614" s="1">
        <v>19.579999999999998</v>
      </c>
      <c r="C614" s="1">
        <v>13.03</v>
      </c>
      <c r="D614" s="1">
        <f>Tabelle1[[#This Row],[Gross Sales Price]]/1.18</f>
        <v>11.042372881355933</v>
      </c>
      <c r="E614" s="1">
        <f>Tabelle1[[#This Row],[Gross Sales Price]]*0.12</f>
        <v>1.5635999999999999</v>
      </c>
      <c r="F614" s="1">
        <v>0.4</v>
      </c>
      <c r="G614" s="1">
        <v>3</v>
      </c>
      <c r="H614" s="1">
        <v>2</v>
      </c>
      <c r="I614" s="2">
        <f>Tabelle1[[#This Row],[Base Price]]+Tabelle1[[#This Row],[Total Selling Costs
	]]+Tabelle1[[#This Row],[DHL Costs]]+Tabelle1[[#This Row],[Handling Costs]]+Tabelle1[[#This Row],[Fixed Costs]]</f>
        <v>26.543599999999998</v>
      </c>
      <c r="J614" s="1">
        <f>Tabelle1[[#This Row],[Net Sales Price]]-Tabelle1[[#This Row],[Variable Costs]]</f>
        <v>-15.501227118644065</v>
      </c>
    </row>
    <row r="615" spans="1:10" x14ac:dyDescent="0.25">
      <c r="A615" s="8" t="s">
        <v>623</v>
      </c>
      <c r="B615" s="1">
        <v>17.63</v>
      </c>
      <c r="C615" s="1">
        <v>21.07</v>
      </c>
      <c r="D615" s="1">
        <f>Tabelle1[[#This Row],[Gross Sales Price]]/1.18</f>
        <v>17.85593220338983</v>
      </c>
      <c r="E615" s="1">
        <f>Tabelle1[[#This Row],[Gross Sales Price]]*0.12</f>
        <v>2.5284</v>
      </c>
      <c r="F615" s="1">
        <v>0.4</v>
      </c>
      <c r="G615" s="1">
        <v>3</v>
      </c>
      <c r="H615" s="1">
        <v>2</v>
      </c>
      <c r="I615" s="2">
        <f>Tabelle1[[#This Row],[Base Price]]+Tabelle1[[#This Row],[Total Selling Costs
	]]+Tabelle1[[#This Row],[DHL Costs]]+Tabelle1[[#This Row],[Handling Costs]]+Tabelle1[[#This Row],[Fixed Costs]]</f>
        <v>25.558399999999999</v>
      </c>
      <c r="J615" s="1">
        <f>Tabelle1[[#This Row],[Net Sales Price]]-Tabelle1[[#This Row],[Variable Costs]]</f>
        <v>-7.7024677966101684</v>
      </c>
    </row>
    <row r="616" spans="1:10" x14ac:dyDescent="0.25">
      <c r="A616" s="8" t="s">
        <v>624</v>
      </c>
      <c r="B616" s="1">
        <v>15.79</v>
      </c>
      <c r="C616" s="1">
        <v>19.899999999999999</v>
      </c>
      <c r="D616" s="1">
        <f>Tabelle1[[#This Row],[Gross Sales Price]]/1.18</f>
        <v>16.864406779661017</v>
      </c>
      <c r="E616" s="1">
        <f>Tabelle1[[#This Row],[Gross Sales Price]]*0.12</f>
        <v>2.3879999999999999</v>
      </c>
      <c r="F616" s="1">
        <v>0.4</v>
      </c>
      <c r="G616" s="1">
        <v>3</v>
      </c>
      <c r="H616" s="1">
        <v>2</v>
      </c>
      <c r="I616" s="2">
        <f>Tabelle1[[#This Row],[Base Price]]+Tabelle1[[#This Row],[Total Selling Costs
	]]+Tabelle1[[#This Row],[DHL Costs]]+Tabelle1[[#This Row],[Handling Costs]]+Tabelle1[[#This Row],[Fixed Costs]]</f>
        <v>23.577999999999996</v>
      </c>
      <c r="J616" s="1">
        <f>Tabelle1[[#This Row],[Net Sales Price]]-Tabelle1[[#This Row],[Variable Costs]]</f>
        <v>-6.7135932203389785</v>
      </c>
    </row>
    <row r="617" spans="1:10" x14ac:dyDescent="0.25">
      <c r="A617" s="8" t="s">
        <v>625</v>
      </c>
      <c r="B617" s="1">
        <v>8.93</v>
      </c>
      <c r="C617" s="1">
        <v>9.9</v>
      </c>
      <c r="D617" s="1">
        <f>Tabelle1[[#This Row],[Gross Sales Price]]/1.18</f>
        <v>8.3898305084745779</v>
      </c>
      <c r="E617" s="1">
        <f>Tabelle1[[#This Row],[Gross Sales Price]]*0.12</f>
        <v>1.1879999999999999</v>
      </c>
      <c r="F617" s="1">
        <v>0.4</v>
      </c>
      <c r="G617" s="1">
        <v>3</v>
      </c>
      <c r="H617" s="1">
        <v>2</v>
      </c>
      <c r="I617" s="2">
        <f>Tabelle1[[#This Row],[Base Price]]+Tabelle1[[#This Row],[Total Selling Costs
	]]+Tabelle1[[#This Row],[DHL Costs]]+Tabelle1[[#This Row],[Handling Costs]]+Tabelle1[[#This Row],[Fixed Costs]]</f>
        <v>15.518000000000001</v>
      </c>
      <c r="J617" s="1">
        <f>Tabelle1[[#This Row],[Net Sales Price]]-Tabelle1[[#This Row],[Variable Costs]]</f>
        <v>-7.1281694915254228</v>
      </c>
    </row>
    <row r="618" spans="1:10" x14ac:dyDescent="0.25">
      <c r="A618" s="8" t="s">
        <v>626</v>
      </c>
      <c r="B618" s="1">
        <v>18.38</v>
      </c>
      <c r="C618" s="1">
        <v>21.79</v>
      </c>
      <c r="D618" s="1">
        <f>Tabelle1[[#This Row],[Gross Sales Price]]/1.18</f>
        <v>18.466101694915256</v>
      </c>
      <c r="E618" s="1">
        <f>Tabelle1[[#This Row],[Gross Sales Price]]*0.12</f>
        <v>2.6147999999999998</v>
      </c>
      <c r="F618" s="1">
        <v>0.4</v>
      </c>
      <c r="G618" s="1">
        <v>3</v>
      </c>
      <c r="H618" s="1">
        <v>2</v>
      </c>
      <c r="I618" s="2">
        <f>Tabelle1[[#This Row],[Base Price]]+Tabelle1[[#This Row],[Total Selling Costs
	]]+Tabelle1[[#This Row],[DHL Costs]]+Tabelle1[[#This Row],[Handling Costs]]+Tabelle1[[#This Row],[Fixed Costs]]</f>
        <v>26.394799999999996</v>
      </c>
      <c r="J618" s="1">
        <f>Tabelle1[[#This Row],[Net Sales Price]]-Tabelle1[[#This Row],[Variable Costs]]</f>
        <v>-7.9286983050847404</v>
      </c>
    </row>
    <row r="619" spans="1:10" x14ac:dyDescent="0.25">
      <c r="A619" s="8" t="s">
        <v>627</v>
      </c>
      <c r="B619" s="1">
        <v>18.21</v>
      </c>
      <c r="C619" s="1">
        <v>10.62</v>
      </c>
      <c r="D619" s="1">
        <f>Tabelle1[[#This Row],[Gross Sales Price]]/1.18</f>
        <v>9</v>
      </c>
      <c r="E619" s="1">
        <f>Tabelle1[[#This Row],[Gross Sales Price]]*0.12</f>
        <v>1.2743999999999998</v>
      </c>
      <c r="F619" s="1">
        <v>0.4</v>
      </c>
      <c r="G619" s="1">
        <v>3</v>
      </c>
      <c r="H619" s="1">
        <v>2</v>
      </c>
      <c r="I619" s="2">
        <f>Tabelle1[[#This Row],[Base Price]]+Tabelle1[[#This Row],[Total Selling Costs
	]]+Tabelle1[[#This Row],[DHL Costs]]+Tabelle1[[#This Row],[Handling Costs]]+Tabelle1[[#This Row],[Fixed Costs]]</f>
        <v>24.884399999999999</v>
      </c>
      <c r="J619" s="1">
        <f>Tabelle1[[#This Row],[Net Sales Price]]-Tabelle1[[#This Row],[Variable Costs]]</f>
        <v>-15.884399999999999</v>
      </c>
    </row>
    <row r="620" spans="1:10" x14ac:dyDescent="0.25">
      <c r="A620" s="8" t="s">
        <v>628</v>
      </c>
      <c r="B620" s="1">
        <v>17.77</v>
      </c>
      <c r="C620" s="1">
        <v>24.47</v>
      </c>
      <c r="D620" s="1">
        <f>Tabelle1[[#This Row],[Gross Sales Price]]/1.18</f>
        <v>20.737288135593221</v>
      </c>
      <c r="E620" s="1">
        <f>Tabelle1[[#This Row],[Gross Sales Price]]*0.12</f>
        <v>2.9363999999999999</v>
      </c>
      <c r="F620" s="1">
        <v>0.4</v>
      </c>
      <c r="G620" s="1">
        <v>3</v>
      </c>
      <c r="H620" s="1">
        <v>2</v>
      </c>
      <c r="I620" s="2">
        <f>Tabelle1[[#This Row],[Base Price]]+Tabelle1[[#This Row],[Total Selling Costs
	]]+Tabelle1[[#This Row],[DHL Costs]]+Tabelle1[[#This Row],[Handling Costs]]+Tabelle1[[#This Row],[Fixed Costs]]</f>
        <v>26.106399999999997</v>
      </c>
      <c r="J620" s="1">
        <f>Tabelle1[[#This Row],[Net Sales Price]]-Tabelle1[[#This Row],[Variable Costs]]</f>
        <v>-5.3691118644067757</v>
      </c>
    </row>
    <row r="621" spans="1:10" x14ac:dyDescent="0.25">
      <c r="A621" s="8" t="s">
        <v>629</v>
      </c>
      <c r="B621" s="1">
        <v>6.37</v>
      </c>
      <c r="C621" s="1">
        <v>27.13</v>
      </c>
      <c r="D621" s="1">
        <f>Tabelle1[[#This Row],[Gross Sales Price]]/1.18</f>
        <v>22.991525423728813</v>
      </c>
      <c r="E621" s="1">
        <f>Tabelle1[[#This Row],[Gross Sales Price]]*0.12</f>
        <v>3.2555999999999998</v>
      </c>
      <c r="F621" s="1">
        <v>0.4</v>
      </c>
      <c r="G621" s="1">
        <v>3</v>
      </c>
      <c r="H621" s="1">
        <v>2</v>
      </c>
      <c r="I621" s="2">
        <f>Tabelle1[[#This Row],[Base Price]]+Tabelle1[[#This Row],[Total Selling Costs
	]]+Tabelle1[[#This Row],[DHL Costs]]+Tabelle1[[#This Row],[Handling Costs]]+Tabelle1[[#This Row],[Fixed Costs]]</f>
        <v>15.025600000000001</v>
      </c>
      <c r="J621" s="1">
        <f>Tabelle1[[#This Row],[Net Sales Price]]-Tabelle1[[#This Row],[Variable Costs]]</f>
        <v>7.9659254237288124</v>
      </c>
    </row>
    <row r="622" spans="1:10" x14ac:dyDescent="0.25">
      <c r="A622" s="8" t="s">
        <v>630</v>
      </c>
      <c r="B622" s="1">
        <v>3.26</v>
      </c>
      <c r="C622" s="1">
        <v>32.61</v>
      </c>
      <c r="D622" s="1">
        <f>Tabelle1[[#This Row],[Gross Sales Price]]/1.18</f>
        <v>27.635593220338983</v>
      </c>
      <c r="E622" s="1">
        <f>Tabelle1[[#This Row],[Gross Sales Price]]*0.12</f>
        <v>3.9131999999999998</v>
      </c>
      <c r="F622" s="1">
        <v>0.4</v>
      </c>
      <c r="G622" s="1">
        <v>3</v>
      </c>
      <c r="H622" s="1">
        <v>2</v>
      </c>
      <c r="I622" s="2">
        <f>Tabelle1[[#This Row],[Base Price]]+Tabelle1[[#This Row],[Total Selling Costs
	]]+Tabelle1[[#This Row],[DHL Costs]]+Tabelle1[[#This Row],[Handling Costs]]+Tabelle1[[#This Row],[Fixed Costs]]</f>
        <v>12.5732</v>
      </c>
      <c r="J622" s="1">
        <f>Tabelle1[[#This Row],[Net Sales Price]]-Tabelle1[[#This Row],[Variable Costs]]</f>
        <v>15.062393220338983</v>
      </c>
    </row>
    <row r="623" spans="1:10" x14ac:dyDescent="0.25">
      <c r="A623" s="8" t="s">
        <v>631</v>
      </c>
      <c r="B623" s="1">
        <v>14.28</v>
      </c>
      <c r="C623" s="1">
        <v>13.02</v>
      </c>
      <c r="D623" s="1">
        <f>Tabelle1[[#This Row],[Gross Sales Price]]/1.18</f>
        <v>11.033898305084746</v>
      </c>
      <c r="E623" s="1">
        <f>Tabelle1[[#This Row],[Gross Sales Price]]*0.12</f>
        <v>1.5623999999999998</v>
      </c>
      <c r="F623" s="1">
        <v>0.4</v>
      </c>
      <c r="G623" s="1">
        <v>3</v>
      </c>
      <c r="H623" s="1">
        <v>2</v>
      </c>
      <c r="I623" s="2">
        <f>Tabelle1[[#This Row],[Base Price]]+Tabelle1[[#This Row],[Total Selling Costs
	]]+Tabelle1[[#This Row],[DHL Costs]]+Tabelle1[[#This Row],[Handling Costs]]+Tabelle1[[#This Row],[Fixed Costs]]</f>
        <v>21.242399999999996</v>
      </c>
      <c r="J623" s="1">
        <f>Tabelle1[[#This Row],[Net Sales Price]]-Tabelle1[[#This Row],[Variable Costs]]</f>
        <v>-10.208501694915251</v>
      </c>
    </row>
    <row r="624" spans="1:10" x14ac:dyDescent="0.25">
      <c r="A624" s="8" t="s">
        <v>632</v>
      </c>
      <c r="B624" s="1">
        <v>14.82</v>
      </c>
      <c r="C624" s="1">
        <v>7.68</v>
      </c>
      <c r="D624" s="1">
        <f>Tabelle1[[#This Row],[Gross Sales Price]]/1.18</f>
        <v>6.5084745762711869</v>
      </c>
      <c r="E624" s="1">
        <f>Tabelle1[[#This Row],[Gross Sales Price]]*0.12</f>
        <v>0.92159999999999997</v>
      </c>
      <c r="F624" s="1">
        <v>0.4</v>
      </c>
      <c r="G624" s="1">
        <v>3</v>
      </c>
      <c r="H624" s="1">
        <v>2</v>
      </c>
      <c r="I624" s="2">
        <f>Tabelle1[[#This Row],[Base Price]]+Tabelle1[[#This Row],[Total Selling Costs
	]]+Tabelle1[[#This Row],[DHL Costs]]+Tabelle1[[#This Row],[Handling Costs]]+Tabelle1[[#This Row],[Fixed Costs]]</f>
        <v>21.141599999999997</v>
      </c>
      <c r="J624" s="1">
        <f>Tabelle1[[#This Row],[Net Sales Price]]-Tabelle1[[#This Row],[Variable Costs]]</f>
        <v>-14.63312542372881</v>
      </c>
    </row>
    <row r="625" spans="1:10" x14ac:dyDescent="0.25">
      <c r="A625" s="8" t="s">
        <v>633</v>
      </c>
      <c r="B625" s="1">
        <v>4.17</v>
      </c>
      <c r="C625" s="1">
        <v>37.93</v>
      </c>
      <c r="D625" s="1">
        <f>Tabelle1[[#This Row],[Gross Sales Price]]/1.18</f>
        <v>32.144067796610173</v>
      </c>
      <c r="E625" s="1">
        <f>Tabelle1[[#This Row],[Gross Sales Price]]*0.12</f>
        <v>4.5515999999999996</v>
      </c>
      <c r="F625" s="1">
        <v>0.4</v>
      </c>
      <c r="G625" s="1">
        <v>3</v>
      </c>
      <c r="H625" s="1">
        <v>2</v>
      </c>
      <c r="I625" s="2">
        <f>Tabelle1[[#This Row],[Base Price]]+Tabelle1[[#This Row],[Total Selling Costs
	]]+Tabelle1[[#This Row],[DHL Costs]]+Tabelle1[[#This Row],[Handling Costs]]+Tabelle1[[#This Row],[Fixed Costs]]</f>
        <v>14.121599999999999</v>
      </c>
      <c r="J625" s="1">
        <f>Tabelle1[[#This Row],[Net Sales Price]]-Tabelle1[[#This Row],[Variable Costs]]</f>
        <v>18.022467796610172</v>
      </c>
    </row>
    <row r="626" spans="1:10" x14ac:dyDescent="0.25">
      <c r="A626" s="8" t="s">
        <v>634</v>
      </c>
      <c r="B626" s="1">
        <v>16.440000000000001</v>
      </c>
      <c r="C626" s="1">
        <v>13.63</v>
      </c>
      <c r="D626" s="1">
        <f>Tabelle1[[#This Row],[Gross Sales Price]]/1.18</f>
        <v>11.550847457627119</v>
      </c>
      <c r="E626" s="1">
        <f>Tabelle1[[#This Row],[Gross Sales Price]]*0.12</f>
        <v>1.6355999999999999</v>
      </c>
      <c r="F626" s="1">
        <v>0.4</v>
      </c>
      <c r="G626" s="1">
        <v>3</v>
      </c>
      <c r="H626" s="1">
        <v>2</v>
      </c>
      <c r="I626" s="2">
        <f>Tabelle1[[#This Row],[Base Price]]+Tabelle1[[#This Row],[Total Selling Costs
	]]+Tabelle1[[#This Row],[DHL Costs]]+Tabelle1[[#This Row],[Handling Costs]]+Tabelle1[[#This Row],[Fixed Costs]]</f>
        <v>23.4756</v>
      </c>
      <c r="J626" s="1">
        <f>Tabelle1[[#This Row],[Net Sales Price]]-Tabelle1[[#This Row],[Variable Costs]]</f>
        <v>-11.924752542372881</v>
      </c>
    </row>
    <row r="627" spans="1:10" x14ac:dyDescent="0.25">
      <c r="A627" s="8" t="s">
        <v>635</v>
      </c>
      <c r="B627" s="1">
        <v>18.75</v>
      </c>
      <c r="C627" s="1">
        <v>18</v>
      </c>
      <c r="D627" s="1">
        <f>Tabelle1[[#This Row],[Gross Sales Price]]/1.18</f>
        <v>15.254237288135593</v>
      </c>
      <c r="E627" s="1">
        <f>Tabelle1[[#This Row],[Gross Sales Price]]*0.12</f>
        <v>2.16</v>
      </c>
      <c r="F627" s="1">
        <v>0.4</v>
      </c>
      <c r="G627" s="1">
        <v>3</v>
      </c>
      <c r="H627" s="1">
        <v>2</v>
      </c>
      <c r="I627" s="2">
        <f>Tabelle1[[#This Row],[Base Price]]+Tabelle1[[#This Row],[Total Selling Costs
	]]+Tabelle1[[#This Row],[DHL Costs]]+Tabelle1[[#This Row],[Handling Costs]]+Tabelle1[[#This Row],[Fixed Costs]]</f>
        <v>26.31</v>
      </c>
      <c r="J627" s="1">
        <f>Tabelle1[[#This Row],[Net Sales Price]]-Tabelle1[[#This Row],[Variable Costs]]</f>
        <v>-11.055762711864405</v>
      </c>
    </row>
    <row r="628" spans="1:10" x14ac:dyDescent="0.25">
      <c r="A628" s="8" t="s">
        <v>636</v>
      </c>
      <c r="B628" s="1">
        <v>5.97</v>
      </c>
      <c r="C628" s="1">
        <v>27.05</v>
      </c>
      <c r="D628" s="1">
        <f>Tabelle1[[#This Row],[Gross Sales Price]]/1.18</f>
        <v>22.923728813559325</v>
      </c>
      <c r="E628" s="1">
        <f>Tabelle1[[#This Row],[Gross Sales Price]]*0.12</f>
        <v>3.246</v>
      </c>
      <c r="F628" s="1">
        <v>0.4</v>
      </c>
      <c r="G628" s="1">
        <v>3</v>
      </c>
      <c r="H628" s="1">
        <v>2</v>
      </c>
      <c r="I628" s="2">
        <f>Tabelle1[[#This Row],[Base Price]]+Tabelle1[[#This Row],[Total Selling Costs
	]]+Tabelle1[[#This Row],[DHL Costs]]+Tabelle1[[#This Row],[Handling Costs]]+Tabelle1[[#This Row],[Fixed Costs]]</f>
        <v>14.616</v>
      </c>
      <c r="J628" s="1">
        <f>Tabelle1[[#This Row],[Net Sales Price]]-Tabelle1[[#This Row],[Variable Costs]]</f>
        <v>8.3077288135593257</v>
      </c>
    </row>
    <row r="629" spans="1:10" x14ac:dyDescent="0.25">
      <c r="A629" s="8" t="s">
        <v>637</v>
      </c>
      <c r="B629" s="1">
        <v>6.83</v>
      </c>
      <c r="C629" s="1">
        <v>35.28</v>
      </c>
      <c r="D629" s="1">
        <f>Tabelle1[[#This Row],[Gross Sales Price]]/1.18</f>
        <v>29.898305084745765</v>
      </c>
      <c r="E629" s="1">
        <f>Tabelle1[[#This Row],[Gross Sales Price]]*0.12</f>
        <v>4.2336</v>
      </c>
      <c r="F629" s="1">
        <v>0.4</v>
      </c>
      <c r="G629" s="1">
        <v>3</v>
      </c>
      <c r="H629" s="1">
        <v>2</v>
      </c>
      <c r="I629" s="2">
        <f>Tabelle1[[#This Row],[Base Price]]+Tabelle1[[#This Row],[Total Selling Costs
	]]+Tabelle1[[#This Row],[DHL Costs]]+Tabelle1[[#This Row],[Handling Costs]]+Tabelle1[[#This Row],[Fixed Costs]]</f>
        <v>16.4636</v>
      </c>
      <c r="J629" s="1">
        <f>Tabelle1[[#This Row],[Net Sales Price]]-Tabelle1[[#This Row],[Variable Costs]]</f>
        <v>13.434705084745765</v>
      </c>
    </row>
    <row r="630" spans="1:10" x14ac:dyDescent="0.25">
      <c r="A630" s="8" t="s">
        <v>638</v>
      </c>
      <c r="B630" s="1">
        <v>19.18</v>
      </c>
      <c r="C630" s="1">
        <v>31.49</v>
      </c>
      <c r="D630" s="1">
        <f>Tabelle1[[#This Row],[Gross Sales Price]]/1.18</f>
        <v>26.6864406779661</v>
      </c>
      <c r="E630" s="1">
        <f>Tabelle1[[#This Row],[Gross Sales Price]]*0.12</f>
        <v>3.7787999999999995</v>
      </c>
      <c r="F630" s="1">
        <v>0.4</v>
      </c>
      <c r="G630" s="1">
        <v>3</v>
      </c>
      <c r="H630" s="1">
        <v>2</v>
      </c>
      <c r="I630" s="2">
        <f>Tabelle1[[#This Row],[Base Price]]+Tabelle1[[#This Row],[Total Selling Costs
	]]+Tabelle1[[#This Row],[DHL Costs]]+Tabelle1[[#This Row],[Handling Costs]]+Tabelle1[[#This Row],[Fixed Costs]]</f>
        <v>28.358799999999999</v>
      </c>
      <c r="J630" s="1">
        <f>Tabelle1[[#This Row],[Net Sales Price]]-Tabelle1[[#This Row],[Variable Costs]]</f>
        <v>-1.6723593220338984</v>
      </c>
    </row>
    <row r="631" spans="1:10" x14ac:dyDescent="0.25">
      <c r="A631" s="8" t="s">
        <v>639</v>
      </c>
      <c r="B631" s="1">
        <v>3.23</v>
      </c>
      <c r="C631" s="1">
        <v>32.69</v>
      </c>
      <c r="D631" s="1">
        <f>Tabelle1[[#This Row],[Gross Sales Price]]/1.18</f>
        <v>27.703389830508474</v>
      </c>
      <c r="E631" s="1">
        <f>Tabelle1[[#This Row],[Gross Sales Price]]*0.12</f>
        <v>3.9227999999999996</v>
      </c>
      <c r="F631" s="1">
        <v>0.4</v>
      </c>
      <c r="G631" s="1">
        <v>3</v>
      </c>
      <c r="H631" s="1">
        <v>2</v>
      </c>
      <c r="I631" s="2">
        <f>Tabelle1[[#This Row],[Base Price]]+Tabelle1[[#This Row],[Total Selling Costs
	]]+Tabelle1[[#This Row],[DHL Costs]]+Tabelle1[[#This Row],[Handling Costs]]+Tabelle1[[#This Row],[Fixed Costs]]</f>
        <v>12.5528</v>
      </c>
      <c r="J631" s="1">
        <f>Tabelle1[[#This Row],[Net Sales Price]]-Tabelle1[[#This Row],[Variable Costs]]</f>
        <v>15.150589830508475</v>
      </c>
    </row>
    <row r="632" spans="1:10" x14ac:dyDescent="0.25">
      <c r="A632" s="8" t="s">
        <v>640</v>
      </c>
      <c r="B632" s="1">
        <v>10.75</v>
      </c>
      <c r="C632" s="1">
        <v>24.41</v>
      </c>
      <c r="D632" s="1">
        <f>Tabelle1[[#This Row],[Gross Sales Price]]/1.18</f>
        <v>20.686440677966104</v>
      </c>
      <c r="E632" s="1">
        <f>Tabelle1[[#This Row],[Gross Sales Price]]*0.12</f>
        <v>2.9291999999999998</v>
      </c>
      <c r="F632" s="1">
        <v>0.4</v>
      </c>
      <c r="G632" s="1">
        <v>3</v>
      </c>
      <c r="H632" s="1">
        <v>2</v>
      </c>
      <c r="I632" s="2">
        <f>Tabelle1[[#This Row],[Base Price]]+Tabelle1[[#This Row],[Total Selling Costs
	]]+Tabelle1[[#This Row],[DHL Costs]]+Tabelle1[[#This Row],[Handling Costs]]+Tabelle1[[#This Row],[Fixed Costs]]</f>
        <v>19.0792</v>
      </c>
      <c r="J632" s="1">
        <f>Tabelle1[[#This Row],[Net Sales Price]]-Tabelle1[[#This Row],[Variable Costs]]</f>
        <v>1.6072406779661037</v>
      </c>
    </row>
    <row r="633" spans="1:10" x14ac:dyDescent="0.25">
      <c r="A633" s="8" t="s">
        <v>641</v>
      </c>
      <c r="B633" s="1">
        <v>7.08</v>
      </c>
      <c r="C633" s="1">
        <v>2.36</v>
      </c>
      <c r="D633" s="1">
        <f>Tabelle1[[#This Row],[Gross Sales Price]]/1.18</f>
        <v>2</v>
      </c>
      <c r="E633" s="1">
        <f>Tabelle1[[#This Row],[Gross Sales Price]]*0.12</f>
        <v>0.28319999999999995</v>
      </c>
      <c r="F633" s="1">
        <v>0.4</v>
      </c>
      <c r="G633" s="1">
        <v>3</v>
      </c>
      <c r="H633" s="1">
        <v>2</v>
      </c>
      <c r="I633" s="2">
        <f>Tabelle1[[#This Row],[Base Price]]+Tabelle1[[#This Row],[Total Selling Costs
	]]+Tabelle1[[#This Row],[DHL Costs]]+Tabelle1[[#This Row],[Handling Costs]]+Tabelle1[[#This Row],[Fixed Costs]]</f>
        <v>12.763199999999999</v>
      </c>
      <c r="J633" s="1">
        <f>Tabelle1[[#This Row],[Net Sales Price]]-Tabelle1[[#This Row],[Variable Costs]]</f>
        <v>-10.763199999999999</v>
      </c>
    </row>
    <row r="634" spans="1:10" x14ac:dyDescent="0.25">
      <c r="A634" s="8" t="s">
        <v>642</v>
      </c>
      <c r="B634" s="1">
        <v>9.92</v>
      </c>
      <c r="C634" s="1">
        <v>35.76</v>
      </c>
      <c r="D634" s="1">
        <f>Tabelle1[[#This Row],[Gross Sales Price]]/1.18</f>
        <v>30.305084745762713</v>
      </c>
      <c r="E634" s="1">
        <f>Tabelle1[[#This Row],[Gross Sales Price]]*0.12</f>
        <v>4.2911999999999999</v>
      </c>
      <c r="F634" s="1">
        <v>0.4</v>
      </c>
      <c r="G634" s="1">
        <v>3</v>
      </c>
      <c r="H634" s="1">
        <v>2</v>
      </c>
      <c r="I634" s="2">
        <f>Tabelle1[[#This Row],[Base Price]]+Tabelle1[[#This Row],[Total Selling Costs
	]]+Tabelle1[[#This Row],[DHL Costs]]+Tabelle1[[#This Row],[Handling Costs]]+Tabelle1[[#This Row],[Fixed Costs]]</f>
        <v>19.611199999999997</v>
      </c>
      <c r="J634" s="1">
        <f>Tabelle1[[#This Row],[Net Sales Price]]-Tabelle1[[#This Row],[Variable Costs]]</f>
        <v>10.693884745762716</v>
      </c>
    </row>
    <row r="635" spans="1:10" x14ac:dyDescent="0.25">
      <c r="A635" s="8" t="s">
        <v>643</v>
      </c>
      <c r="B635" s="1">
        <v>17.62</v>
      </c>
      <c r="C635" s="1">
        <v>28.54</v>
      </c>
      <c r="D635" s="1">
        <f>Tabelle1[[#This Row],[Gross Sales Price]]/1.18</f>
        <v>24.186440677966104</v>
      </c>
      <c r="E635" s="1">
        <f>Tabelle1[[#This Row],[Gross Sales Price]]*0.12</f>
        <v>3.4247999999999998</v>
      </c>
      <c r="F635" s="1">
        <v>0.4</v>
      </c>
      <c r="G635" s="1">
        <v>3</v>
      </c>
      <c r="H635" s="1">
        <v>2</v>
      </c>
      <c r="I635" s="2">
        <f>Tabelle1[[#This Row],[Base Price]]+Tabelle1[[#This Row],[Total Selling Costs
	]]+Tabelle1[[#This Row],[DHL Costs]]+Tabelle1[[#This Row],[Handling Costs]]+Tabelle1[[#This Row],[Fixed Costs]]</f>
        <v>26.444800000000001</v>
      </c>
      <c r="J635" s="1">
        <f>Tabelle1[[#This Row],[Net Sales Price]]-Tabelle1[[#This Row],[Variable Costs]]</f>
        <v>-2.2583593220338969</v>
      </c>
    </row>
    <row r="636" spans="1:10" x14ac:dyDescent="0.25">
      <c r="A636" s="8" t="s">
        <v>644</v>
      </c>
      <c r="B636" s="1">
        <v>17.12</v>
      </c>
      <c r="C636" s="1">
        <v>31.52</v>
      </c>
      <c r="D636" s="1">
        <f>Tabelle1[[#This Row],[Gross Sales Price]]/1.18</f>
        <v>26.711864406779661</v>
      </c>
      <c r="E636" s="1">
        <f>Tabelle1[[#This Row],[Gross Sales Price]]*0.12</f>
        <v>3.7824</v>
      </c>
      <c r="F636" s="1">
        <v>0.4</v>
      </c>
      <c r="G636" s="1">
        <v>3</v>
      </c>
      <c r="H636" s="1">
        <v>2</v>
      </c>
      <c r="I636" s="2">
        <f>Tabelle1[[#This Row],[Base Price]]+Tabelle1[[#This Row],[Total Selling Costs
	]]+Tabelle1[[#This Row],[DHL Costs]]+Tabelle1[[#This Row],[Handling Costs]]+Tabelle1[[#This Row],[Fixed Costs]]</f>
        <v>26.302399999999999</v>
      </c>
      <c r="J636" s="1">
        <f>Tabelle1[[#This Row],[Net Sales Price]]-Tabelle1[[#This Row],[Variable Costs]]</f>
        <v>0.40946440677966223</v>
      </c>
    </row>
    <row r="637" spans="1:10" x14ac:dyDescent="0.25">
      <c r="A637" s="8" t="s">
        <v>645</v>
      </c>
      <c r="B637" s="1">
        <v>12.43</v>
      </c>
      <c r="C637" s="1">
        <v>24.52</v>
      </c>
      <c r="D637" s="1">
        <f>Tabelle1[[#This Row],[Gross Sales Price]]/1.18</f>
        <v>20.779661016949152</v>
      </c>
      <c r="E637" s="1">
        <f>Tabelle1[[#This Row],[Gross Sales Price]]*0.12</f>
        <v>2.9423999999999997</v>
      </c>
      <c r="F637" s="1">
        <v>0.4</v>
      </c>
      <c r="G637" s="1">
        <v>3</v>
      </c>
      <c r="H637" s="1">
        <v>2</v>
      </c>
      <c r="I637" s="2">
        <f>Tabelle1[[#This Row],[Base Price]]+Tabelle1[[#This Row],[Total Selling Costs
	]]+Tabelle1[[#This Row],[DHL Costs]]+Tabelle1[[#This Row],[Handling Costs]]+Tabelle1[[#This Row],[Fixed Costs]]</f>
        <v>20.772399999999998</v>
      </c>
      <c r="J637" s="1">
        <f>Tabelle1[[#This Row],[Net Sales Price]]-Tabelle1[[#This Row],[Variable Costs]]</f>
        <v>7.2610169491547083E-3</v>
      </c>
    </row>
    <row r="638" spans="1:10" x14ac:dyDescent="0.25">
      <c r="A638" s="8" t="s">
        <v>646</v>
      </c>
      <c r="B638" s="1">
        <v>5.57</v>
      </c>
      <c r="C638" s="1">
        <v>16.28</v>
      </c>
      <c r="D638" s="1">
        <f>Tabelle1[[#This Row],[Gross Sales Price]]/1.18</f>
        <v>13.796610169491528</v>
      </c>
      <c r="E638" s="1">
        <f>Tabelle1[[#This Row],[Gross Sales Price]]*0.12</f>
        <v>1.9536</v>
      </c>
      <c r="F638" s="1">
        <v>0.4</v>
      </c>
      <c r="G638" s="1">
        <v>3</v>
      </c>
      <c r="H638" s="1">
        <v>2</v>
      </c>
      <c r="I638" s="2">
        <f>Tabelle1[[#This Row],[Base Price]]+Tabelle1[[#This Row],[Total Selling Costs
	]]+Tabelle1[[#This Row],[DHL Costs]]+Tabelle1[[#This Row],[Handling Costs]]+Tabelle1[[#This Row],[Fixed Costs]]</f>
        <v>12.9236</v>
      </c>
      <c r="J638" s="1">
        <f>Tabelle1[[#This Row],[Net Sales Price]]-Tabelle1[[#This Row],[Variable Costs]]</f>
        <v>0.87301016949152732</v>
      </c>
    </row>
    <row r="639" spans="1:10" x14ac:dyDescent="0.25">
      <c r="A639" s="8" t="s">
        <v>647</v>
      </c>
      <c r="B639" s="1">
        <v>6.06</v>
      </c>
      <c r="C639" s="1">
        <v>24.32</v>
      </c>
      <c r="D639" s="1">
        <f>Tabelle1[[#This Row],[Gross Sales Price]]/1.18</f>
        <v>20.610169491525426</v>
      </c>
      <c r="E639" s="1">
        <f>Tabelle1[[#This Row],[Gross Sales Price]]*0.12</f>
        <v>2.9184000000000001</v>
      </c>
      <c r="F639" s="1">
        <v>0.4</v>
      </c>
      <c r="G639" s="1">
        <v>3</v>
      </c>
      <c r="H639" s="1">
        <v>2</v>
      </c>
      <c r="I639" s="2">
        <f>Tabelle1[[#This Row],[Base Price]]+Tabelle1[[#This Row],[Total Selling Costs
	]]+Tabelle1[[#This Row],[DHL Costs]]+Tabelle1[[#This Row],[Handling Costs]]+Tabelle1[[#This Row],[Fixed Costs]]</f>
        <v>14.378400000000001</v>
      </c>
      <c r="J639" s="1">
        <f>Tabelle1[[#This Row],[Net Sales Price]]-Tabelle1[[#This Row],[Variable Costs]]</f>
        <v>6.2317694915254247</v>
      </c>
    </row>
    <row r="640" spans="1:10" x14ac:dyDescent="0.25">
      <c r="A640" s="8" t="s">
        <v>648</v>
      </c>
      <c r="B640" s="1">
        <v>9.0299999999999994</v>
      </c>
      <c r="C640" s="1">
        <v>23.5</v>
      </c>
      <c r="D640" s="1">
        <f>Tabelle1[[#This Row],[Gross Sales Price]]/1.18</f>
        <v>19.915254237288135</v>
      </c>
      <c r="E640" s="1">
        <f>Tabelle1[[#This Row],[Gross Sales Price]]*0.12</f>
        <v>2.82</v>
      </c>
      <c r="F640" s="1">
        <v>0.4</v>
      </c>
      <c r="G640" s="1">
        <v>3</v>
      </c>
      <c r="H640" s="1">
        <v>2</v>
      </c>
      <c r="I640" s="2">
        <f>Tabelle1[[#This Row],[Base Price]]+Tabelle1[[#This Row],[Total Selling Costs
	]]+Tabelle1[[#This Row],[DHL Costs]]+Tabelle1[[#This Row],[Handling Costs]]+Tabelle1[[#This Row],[Fixed Costs]]</f>
        <v>17.25</v>
      </c>
      <c r="J640" s="1">
        <f>Tabelle1[[#This Row],[Net Sales Price]]-Tabelle1[[#This Row],[Variable Costs]]</f>
        <v>2.6652542372881349</v>
      </c>
    </row>
    <row r="641" spans="1:10" x14ac:dyDescent="0.25">
      <c r="A641" s="8" t="s">
        <v>649</v>
      </c>
      <c r="B641" s="1">
        <v>8.1999999999999993</v>
      </c>
      <c r="C641" s="1">
        <v>5.0999999999999996</v>
      </c>
      <c r="D641" s="1">
        <f>Tabelle1[[#This Row],[Gross Sales Price]]/1.18</f>
        <v>4.3220338983050848</v>
      </c>
      <c r="E641" s="1">
        <f>Tabelle1[[#This Row],[Gross Sales Price]]*0.12</f>
        <v>0.61199999999999999</v>
      </c>
      <c r="F641" s="1">
        <v>0.4</v>
      </c>
      <c r="G641" s="1">
        <v>3</v>
      </c>
      <c r="H641" s="1">
        <v>2</v>
      </c>
      <c r="I641" s="2">
        <f>Tabelle1[[#This Row],[Base Price]]+Tabelle1[[#This Row],[Total Selling Costs
	]]+Tabelle1[[#This Row],[DHL Costs]]+Tabelle1[[#This Row],[Handling Costs]]+Tabelle1[[#This Row],[Fixed Costs]]</f>
        <v>14.212</v>
      </c>
      <c r="J641" s="1">
        <f>Tabelle1[[#This Row],[Net Sales Price]]-Tabelle1[[#This Row],[Variable Costs]]</f>
        <v>-9.889966101694915</v>
      </c>
    </row>
    <row r="642" spans="1:10" x14ac:dyDescent="0.25">
      <c r="A642" s="8" t="s">
        <v>650</v>
      </c>
      <c r="B642" s="1">
        <v>7.3</v>
      </c>
      <c r="C642" s="1">
        <v>18.5</v>
      </c>
      <c r="D642" s="1">
        <f>Tabelle1[[#This Row],[Gross Sales Price]]/1.18</f>
        <v>15.677966101694915</v>
      </c>
      <c r="E642" s="1">
        <f>Tabelle1[[#This Row],[Gross Sales Price]]*0.12</f>
        <v>2.2199999999999998</v>
      </c>
      <c r="F642" s="1">
        <v>0.4</v>
      </c>
      <c r="G642" s="1">
        <v>3</v>
      </c>
      <c r="H642" s="1">
        <v>2</v>
      </c>
      <c r="I642" s="2">
        <f>Tabelle1[[#This Row],[Base Price]]+Tabelle1[[#This Row],[Total Selling Costs
	]]+Tabelle1[[#This Row],[DHL Costs]]+Tabelle1[[#This Row],[Handling Costs]]+Tabelle1[[#This Row],[Fixed Costs]]</f>
        <v>14.92</v>
      </c>
      <c r="J642" s="1">
        <f>Tabelle1[[#This Row],[Net Sales Price]]-Tabelle1[[#This Row],[Variable Costs]]</f>
        <v>0.7579661016949153</v>
      </c>
    </row>
    <row r="643" spans="1:10" x14ac:dyDescent="0.25">
      <c r="A643" s="8" t="s">
        <v>651</v>
      </c>
      <c r="B643" s="1">
        <v>3.13</v>
      </c>
      <c r="C643" s="1">
        <v>26.73</v>
      </c>
      <c r="D643" s="1">
        <f>Tabelle1[[#This Row],[Gross Sales Price]]/1.18</f>
        <v>22.652542372881356</v>
      </c>
      <c r="E643" s="1">
        <f>Tabelle1[[#This Row],[Gross Sales Price]]*0.12</f>
        <v>3.2075999999999998</v>
      </c>
      <c r="F643" s="1">
        <v>0.4</v>
      </c>
      <c r="G643" s="1">
        <v>3</v>
      </c>
      <c r="H643" s="1">
        <v>2</v>
      </c>
      <c r="I643" s="2">
        <f>Tabelle1[[#This Row],[Base Price]]+Tabelle1[[#This Row],[Total Selling Costs
	]]+Tabelle1[[#This Row],[DHL Costs]]+Tabelle1[[#This Row],[Handling Costs]]+Tabelle1[[#This Row],[Fixed Costs]]</f>
        <v>11.7376</v>
      </c>
      <c r="J643" s="1">
        <f>Tabelle1[[#This Row],[Net Sales Price]]-Tabelle1[[#This Row],[Variable Costs]]</f>
        <v>10.914942372881356</v>
      </c>
    </row>
    <row r="644" spans="1:10" x14ac:dyDescent="0.25">
      <c r="A644" s="8" t="s">
        <v>652</v>
      </c>
      <c r="B644" s="1">
        <v>5.1100000000000003</v>
      </c>
      <c r="C644" s="1">
        <v>8.93</v>
      </c>
      <c r="D644" s="1">
        <f>Tabelle1[[#This Row],[Gross Sales Price]]/1.18</f>
        <v>7.5677966101694913</v>
      </c>
      <c r="E644" s="1">
        <f>Tabelle1[[#This Row],[Gross Sales Price]]*0.12</f>
        <v>1.0715999999999999</v>
      </c>
      <c r="F644" s="1">
        <v>0.4</v>
      </c>
      <c r="G644" s="1">
        <v>3</v>
      </c>
      <c r="H644" s="1">
        <v>2</v>
      </c>
      <c r="I644" s="2">
        <f>Tabelle1[[#This Row],[Base Price]]+Tabelle1[[#This Row],[Total Selling Costs
	]]+Tabelle1[[#This Row],[DHL Costs]]+Tabelle1[[#This Row],[Handling Costs]]+Tabelle1[[#This Row],[Fixed Costs]]</f>
        <v>11.5816</v>
      </c>
      <c r="J644" s="1">
        <f>Tabelle1[[#This Row],[Net Sales Price]]-Tabelle1[[#This Row],[Variable Costs]]</f>
        <v>-4.0138033898305086</v>
      </c>
    </row>
    <row r="645" spans="1:10" x14ac:dyDescent="0.25">
      <c r="A645" s="8" t="s">
        <v>653</v>
      </c>
      <c r="B645" s="1">
        <v>19.86</v>
      </c>
      <c r="C645" s="1">
        <v>30.3</v>
      </c>
      <c r="D645" s="1">
        <f>Tabelle1[[#This Row],[Gross Sales Price]]/1.18</f>
        <v>25.677966101694917</v>
      </c>
      <c r="E645" s="1">
        <f>Tabelle1[[#This Row],[Gross Sales Price]]*0.12</f>
        <v>3.6360000000000001</v>
      </c>
      <c r="F645" s="1">
        <v>0.4</v>
      </c>
      <c r="G645" s="1">
        <v>3</v>
      </c>
      <c r="H645" s="1">
        <v>2</v>
      </c>
      <c r="I645" s="2">
        <f>Tabelle1[[#This Row],[Base Price]]+Tabelle1[[#This Row],[Total Selling Costs
	]]+Tabelle1[[#This Row],[DHL Costs]]+Tabelle1[[#This Row],[Handling Costs]]+Tabelle1[[#This Row],[Fixed Costs]]</f>
        <v>28.895999999999997</v>
      </c>
      <c r="J645" s="1">
        <f>Tabelle1[[#This Row],[Net Sales Price]]-Tabelle1[[#This Row],[Variable Costs]]</f>
        <v>-3.2180338983050802</v>
      </c>
    </row>
    <row r="646" spans="1:10" x14ac:dyDescent="0.25">
      <c r="A646" s="8" t="s">
        <v>654</v>
      </c>
      <c r="B646" s="1">
        <v>13.84</v>
      </c>
      <c r="C646" s="1">
        <v>20.53</v>
      </c>
      <c r="D646" s="1">
        <f>Tabelle1[[#This Row],[Gross Sales Price]]/1.18</f>
        <v>17.398305084745765</v>
      </c>
      <c r="E646" s="1">
        <f>Tabelle1[[#This Row],[Gross Sales Price]]*0.12</f>
        <v>2.4636</v>
      </c>
      <c r="F646" s="1">
        <v>0.4</v>
      </c>
      <c r="G646" s="1">
        <v>3</v>
      </c>
      <c r="H646" s="1">
        <v>2</v>
      </c>
      <c r="I646" s="2">
        <f>Tabelle1[[#This Row],[Base Price]]+Tabelle1[[#This Row],[Total Selling Costs
	]]+Tabelle1[[#This Row],[DHL Costs]]+Tabelle1[[#This Row],[Handling Costs]]+Tabelle1[[#This Row],[Fixed Costs]]</f>
        <v>21.703599999999998</v>
      </c>
      <c r="J646" s="1">
        <f>Tabelle1[[#This Row],[Net Sales Price]]-Tabelle1[[#This Row],[Variable Costs]]</f>
        <v>-4.3052949152542332</v>
      </c>
    </row>
    <row r="647" spans="1:10" x14ac:dyDescent="0.25">
      <c r="A647" s="8" t="s">
        <v>655</v>
      </c>
      <c r="B647" s="1">
        <v>12.36</v>
      </c>
      <c r="C647" s="1">
        <v>3.54</v>
      </c>
      <c r="D647" s="1">
        <f>Tabelle1[[#This Row],[Gross Sales Price]]/1.18</f>
        <v>3</v>
      </c>
      <c r="E647" s="1">
        <f>Tabelle1[[#This Row],[Gross Sales Price]]*0.12</f>
        <v>0.42480000000000001</v>
      </c>
      <c r="F647" s="1">
        <v>0.4</v>
      </c>
      <c r="G647" s="1">
        <v>3</v>
      </c>
      <c r="H647" s="1">
        <v>2</v>
      </c>
      <c r="I647" s="2">
        <f>Tabelle1[[#This Row],[Base Price]]+Tabelle1[[#This Row],[Total Selling Costs
	]]+Tabelle1[[#This Row],[DHL Costs]]+Tabelle1[[#This Row],[Handling Costs]]+Tabelle1[[#This Row],[Fixed Costs]]</f>
        <v>18.184799999999996</v>
      </c>
      <c r="J647" s="1">
        <f>Tabelle1[[#This Row],[Net Sales Price]]-Tabelle1[[#This Row],[Variable Costs]]</f>
        <v>-15.184799999999996</v>
      </c>
    </row>
    <row r="648" spans="1:10" x14ac:dyDescent="0.25">
      <c r="A648" s="8" t="s">
        <v>656</v>
      </c>
      <c r="B648" s="1">
        <v>15.31</v>
      </c>
      <c r="C648" s="1">
        <v>13.08</v>
      </c>
      <c r="D648" s="1">
        <f>Tabelle1[[#This Row],[Gross Sales Price]]/1.18</f>
        <v>11.084745762711865</v>
      </c>
      <c r="E648" s="1">
        <f>Tabelle1[[#This Row],[Gross Sales Price]]*0.12</f>
        <v>1.5695999999999999</v>
      </c>
      <c r="F648" s="1">
        <v>0.4</v>
      </c>
      <c r="G648" s="1">
        <v>3</v>
      </c>
      <c r="H648" s="1">
        <v>2</v>
      </c>
      <c r="I648" s="2">
        <f>Tabelle1[[#This Row],[Base Price]]+Tabelle1[[#This Row],[Total Selling Costs
	]]+Tabelle1[[#This Row],[DHL Costs]]+Tabelle1[[#This Row],[Handling Costs]]+Tabelle1[[#This Row],[Fixed Costs]]</f>
        <v>22.279599999999999</v>
      </c>
      <c r="J648" s="1">
        <f>Tabelle1[[#This Row],[Net Sales Price]]-Tabelle1[[#This Row],[Variable Costs]]</f>
        <v>-11.194854237288133</v>
      </c>
    </row>
    <row r="649" spans="1:10" x14ac:dyDescent="0.25">
      <c r="A649" s="8" t="s">
        <v>657</v>
      </c>
      <c r="B649" s="1">
        <v>17.489999999999998</v>
      </c>
      <c r="C649" s="1">
        <v>8.65</v>
      </c>
      <c r="D649" s="1">
        <f>Tabelle1[[#This Row],[Gross Sales Price]]/1.18</f>
        <v>7.3305084745762716</v>
      </c>
      <c r="E649" s="1">
        <f>Tabelle1[[#This Row],[Gross Sales Price]]*0.12</f>
        <v>1.038</v>
      </c>
      <c r="F649" s="1">
        <v>0.4</v>
      </c>
      <c r="G649" s="1">
        <v>3</v>
      </c>
      <c r="H649" s="1">
        <v>2</v>
      </c>
      <c r="I649" s="2">
        <f>Tabelle1[[#This Row],[Base Price]]+Tabelle1[[#This Row],[Total Selling Costs
	]]+Tabelle1[[#This Row],[DHL Costs]]+Tabelle1[[#This Row],[Handling Costs]]+Tabelle1[[#This Row],[Fixed Costs]]</f>
        <v>23.927999999999997</v>
      </c>
      <c r="J649" s="1">
        <f>Tabelle1[[#This Row],[Net Sales Price]]-Tabelle1[[#This Row],[Variable Costs]]</f>
        <v>-16.597491525423727</v>
      </c>
    </row>
    <row r="650" spans="1:10" x14ac:dyDescent="0.25">
      <c r="A650" s="8" t="s">
        <v>658</v>
      </c>
      <c r="B650" s="1">
        <v>4.13</v>
      </c>
      <c r="C650" s="1">
        <v>34.1</v>
      </c>
      <c r="D650" s="1">
        <f>Tabelle1[[#This Row],[Gross Sales Price]]/1.18</f>
        <v>28.898305084745765</v>
      </c>
      <c r="E650" s="1">
        <f>Tabelle1[[#This Row],[Gross Sales Price]]*0.12</f>
        <v>4.0919999999999996</v>
      </c>
      <c r="F650" s="1">
        <v>0.4</v>
      </c>
      <c r="G650" s="1">
        <v>3</v>
      </c>
      <c r="H650" s="1">
        <v>2</v>
      </c>
      <c r="I650" s="2">
        <f>Tabelle1[[#This Row],[Base Price]]+Tabelle1[[#This Row],[Total Selling Costs
	]]+Tabelle1[[#This Row],[DHL Costs]]+Tabelle1[[#This Row],[Handling Costs]]+Tabelle1[[#This Row],[Fixed Costs]]</f>
        <v>13.622</v>
      </c>
      <c r="J650" s="1">
        <f>Tabelle1[[#This Row],[Net Sales Price]]-Tabelle1[[#This Row],[Variable Costs]]</f>
        <v>15.276305084745765</v>
      </c>
    </row>
    <row r="651" spans="1:10" x14ac:dyDescent="0.25">
      <c r="A651" s="8" t="s">
        <v>659</v>
      </c>
      <c r="B651" s="1">
        <v>13.12</v>
      </c>
      <c r="C651" s="1">
        <v>23.57</v>
      </c>
      <c r="D651" s="1">
        <f>Tabelle1[[#This Row],[Gross Sales Price]]/1.18</f>
        <v>19.974576271186443</v>
      </c>
      <c r="E651" s="1">
        <f>Tabelle1[[#This Row],[Gross Sales Price]]*0.12</f>
        <v>2.8283999999999998</v>
      </c>
      <c r="F651" s="1">
        <v>0.4</v>
      </c>
      <c r="G651" s="1">
        <v>3</v>
      </c>
      <c r="H651" s="1">
        <v>2</v>
      </c>
      <c r="I651" s="2">
        <f>Tabelle1[[#This Row],[Base Price]]+Tabelle1[[#This Row],[Total Selling Costs
	]]+Tabelle1[[#This Row],[DHL Costs]]+Tabelle1[[#This Row],[Handling Costs]]+Tabelle1[[#This Row],[Fixed Costs]]</f>
        <v>21.348399999999998</v>
      </c>
      <c r="J651" s="1">
        <f>Tabelle1[[#This Row],[Net Sales Price]]-Tabelle1[[#This Row],[Variable Costs]]</f>
        <v>-1.3738237288135551</v>
      </c>
    </row>
    <row r="652" spans="1:10" x14ac:dyDescent="0.25">
      <c r="A652" s="8" t="s">
        <v>660</v>
      </c>
      <c r="B652" s="1">
        <v>15.18</v>
      </c>
      <c r="C652" s="1">
        <v>21.7</v>
      </c>
      <c r="D652" s="1">
        <f>Tabelle1[[#This Row],[Gross Sales Price]]/1.18</f>
        <v>18.389830508474578</v>
      </c>
      <c r="E652" s="1">
        <f>Tabelle1[[#This Row],[Gross Sales Price]]*0.12</f>
        <v>2.6039999999999996</v>
      </c>
      <c r="F652" s="1">
        <v>0.4</v>
      </c>
      <c r="G652" s="1">
        <v>3</v>
      </c>
      <c r="H652" s="1">
        <v>2</v>
      </c>
      <c r="I652" s="2">
        <f>Tabelle1[[#This Row],[Base Price]]+Tabelle1[[#This Row],[Total Selling Costs
	]]+Tabelle1[[#This Row],[DHL Costs]]+Tabelle1[[#This Row],[Handling Costs]]+Tabelle1[[#This Row],[Fixed Costs]]</f>
        <v>23.183999999999997</v>
      </c>
      <c r="J652" s="1">
        <f>Tabelle1[[#This Row],[Net Sales Price]]-Tabelle1[[#This Row],[Variable Costs]]</f>
        <v>-4.7941694915254196</v>
      </c>
    </row>
    <row r="653" spans="1:10" x14ac:dyDescent="0.25">
      <c r="A653" s="8" t="s">
        <v>661</v>
      </c>
      <c r="B653" s="1">
        <v>10.199999999999999</v>
      </c>
      <c r="C653" s="1">
        <v>9.19</v>
      </c>
      <c r="D653" s="1">
        <f>Tabelle1[[#This Row],[Gross Sales Price]]/1.18</f>
        <v>7.7881355932203391</v>
      </c>
      <c r="E653" s="1">
        <f>Tabelle1[[#This Row],[Gross Sales Price]]*0.12</f>
        <v>1.1028</v>
      </c>
      <c r="F653" s="1">
        <v>0.4</v>
      </c>
      <c r="G653" s="1">
        <v>3</v>
      </c>
      <c r="H653" s="1">
        <v>2</v>
      </c>
      <c r="I653" s="2">
        <f>Tabelle1[[#This Row],[Base Price]]+Tabelle1[[#This Row],[Total Selling Costs
	]]+Tabelle1[[#This Row],[DHL Costs]]+Tabelle1[[#This Row],[Handling Costs]]+Tabelle1[[#This Row],[Fixed Costs]]</f>
        <v>16.702799999999996</v>
      </c>
      <c r="J653" s="1">
        <f>Tabelle1[[#This Row],[Net Sales Price]]-Tabelle1[[#This Row],[Variable Costs]]</f>
        <v>-8.9146644067796572</v>
      </c>
    </row>
    <row r="654" spans="1:10" x14ac:dyDescent="0.25">
      <c r="A654" s="8" t="s">
        <v>662</v>
      </c>
      <c r="B654" s="1">
        <v>11.77</v>
      </c>
      <c r="C654" s="1">
        <v>35.54</v>
      </c>
      <c r="D654" s="1">
        <f>Tabelle1[[#This Row],[Gross Sales Price]]/1.18</f>
        <v>30.118644067796613</v>
      </c>
      <c r="E654" s="1">
        <f>Tabelle1[[#This Row],[Gross Sales Price]]*0.12</f>
        <v>4.2648000000000001</v>
      </c>
      <c r="F654" s="1">
        <v>0.4</v>
      </c>
      <c r="G654" s="1">
        <v>3</v>
      </c>
      <c r="H654" s="1">
        <v>2</v>
      </c>
      <c r="I654" s="2">
        <f>Tabelle1[[#This Row],[Base Price]]+Tabelle1[[#This Row],[Total Selling Costs
	]]+Tabelle1[[#This Row],[DHL Costs]]+Tabelle1[[#This Row],[Handling Costs]]+Tabelle1[[#This Row],[Fixed Costs]]</f>
        <v>21.434799999999999</v>
      </c>
      <c r="J654" s="1">
        <f>Tabelle1[[#This Row],[Net Sales Price]]-Tabelle1[[#This Row],[Variable Costs]]</f>
        <v>8.6838440677966133</v>
      </c>
    </row>
    <row r="655" spans="1:10" x14ac:dyDescent="0.25">
      <c r="A655" s="8" t="s">
        <v>663</v>
      </c>
      <c r="B655" s="1">
        <v>6.3</v>
      </c>
      <c r="C655" s="1">
        <v>34.4</v>
      </c>
      <c r="D655" s="1">
        <f>Tabelle1[[#This Row],[Gross Sales Price]]/1.18</f>
        <v>29.152542372881356</v>
      </c>
      <c r="E655" s="1">
        <f>Tabelle1[[#This Row],[Gross Sales Price]]*0.12</f>
        <v>4.1280000000000001</v>
      </c>
      <c r="F655" s="1">
        <v>0.4</v>
      </c>
      <c r="G655" s="1">
        <v>3</v>
      </c>
      <c r="H655" s="1">
        <v>2</v>
      </c>
      <c r="I655" s="2">
        <f>Tabelle1[[#This Row],[Base Price]]+Tabelle1[[#This Row],[Total Selling Costs
	]]+Tabelle1[[#This Row],[DHL Costs]]+Tabelle1[[#This Row],[Handling Costs]]+Tabelle1[[#This Row],[Fixed Costs]]</f>
        <v>15.828000000000001</v>
      </c>
      <c r="J655" s="1">
        <f>Tabelle1[[#This Row],[Net Sales Price]]-Tabelle1[[#This Row],[Variable Costs]]</f>
        <v>13.324542372881355</v>
      </c>
    </row>
    <row r="656" spans="1:10" x14ac:dyDescent="0.25">
      <c r="A656" s="8" t="s">
        <v>664</v>
      </c>
      <c r="B656" s="1">
        <v>12.08</v>
      </c>
      <c r="C656" s="1">
        <v>4.41</v>
      </c>
      <c r="D656" s="1">
        <f>Tabelle1[[#This Row],[Gross Sales Price]]/1.18</f>
        <v>3.7372881355932206</v>
      </c>
      <c r="E656" s="1">
        <f>Tabelle1[[#This Row],[Gross Sales Price]]*0.12</f>
        <v>0.5292</v>
      </c>
      <c r="F656" s="1">
        <v>0.4</v>
      </c>
      <c r="G656" s="1">
        <v>3</v>
      </c>
      <c r="H656" s="1">
        <v>2</v>
      </c>
      <c r="I656" s="2">
        <f>Tabelle1[[#This Row],[Base Price]]+Tabelle1[[#This Row],[Total Selling Costs
	]]+Tabelle1[[#This Row],[DHL Costs]]+Tabelle1[[#This Row],[Handling Costs]]+Tabelle1[[#This Row],[Fixed Costs]]</f>
        <v>18.0092</v>
      </c>
      <c r="J656" s="1">
        <f>Tabelle1[[#This Row],[Net Sales Price]]-Tabelle1[[#This Row],[Variable Costs]]</f>
        <v>-14.271911864406778</v>
      </c>
    </row>
    <row r="657" spans="1:10" x14ac:dyDescent="0.25">
      <c r="A657" s="8" t="s">
        <v>665</v>
      </c>
      <c r="B657" s="1">
        <v>13.69</v>
      </c>
      <c r="C657" s="1">
        <v>25.59</v>
      </c>
      <c r="D657" s="1">
        <f>Tabelle1[[#This Row],[Gross Sales Price]]/1.18</f>
        <v>21.686440677966104</v>
      </c>
      <c r="E657" s="1">
        <f>Tabelle1[[#This Row],[Gross Sales Price]]*0.12</f>
        <v>3.0707999999999998</v>
      </c>
      <c r="F657" s="1">
        <v>0.4</v>
      </c>
      <c r="G657" s="1">
        <v>3</v>
      </c>
      <c r="H657" s="1">
        <v>2</v>
      </c>
      <c r="I657" s="2">
        <f>Tabelle1[[#This Row],[Base Price]]+Tabelle1[[#This Row],[Total Selling Costs
	]]+Tabelle1[[#This Row],[DHL Costs]]+Tabelle1[[#This Row],[Handling Costs]]+Tabelle1[[#This Row],[Fixed Costs]]</f>
        <v>22.160799999999998</v>
      </c>
      <c r="J657" s="1">
        <f>Tabelle1[[#This Row],[Net Sales Price]]-Tabelle1[[#This Row],[Variable Costs]]</f>
        <v>-0.47435932203389441</v>
      </c>
    </row>
    <row r="658" spans="1:10" x14ac:dyDescent="0.25">
      <c r="A658" s="8" t="s">
        <v>666</v>
      </c>
      <c r="B658" s="1">
        <v>4.97</v>
      </c>
      <c r="C658" s="1">
        <v>13.08</v>
      </c>
      <c r="D658" s="1">
        <f>Tabelle1[[#This Row],[Gross Sales Price]]/1.18</f>
        <v>11.084745762711865</v>
      </c>
      <c r="E658" s="1">
        <f>Tabelle1[[#This Row],[Gross Sales Price]]*0.12</f>
        <v>1.5695999999999999</v>
      </c>
      <c r="F658" s="1">
        <v>0.4</v>
      </c>
      <c r="G658" s="1">
        <v>3</v>
      </c>
      <c r="H658" s="1">
        <v>2</v>
      </c>
      <c r="I658" s="2">
        <f>Tabelle1[[#This Row],[Base Price]]+Tabelle1[[#This Row],[Total Selling Costs
	]]+Tabelle1[[#This Row],[DHL Costs]]+Tabelle1[[#This Row],[Handling Costs]]+Tabelle1[[#This Row],[Fixed Costs]]</f>
        <v>11.9396</v>
      </c>
      <c r="J658" s="1">
        <f>Tabelle1[[#This Row],[Net Sales Price]]-Tabelle1[[#This Row],[Variable Costs]]</f>
        <v>-0.85485423728813537</v>
      </c>
    </row>
    <row r="659" spans="1:10" x14ac:dyDescent="0.25">
      <c r="A659" s="8" t="s">
        <v>667</v>
      </c>
      <c r="B659" s="1">
        <v>6.47</v>
      </c>
      <c r="C659" s="1">
        <v>22.38</v>
      </c>
      <c r="D659" s="1">
        <f>Tabelle1[[#This Row],[Gross Sales Price]]/1.18</f>
        <v>18.966101694915256</v>
      </c>
      <c r="E659" s="1">
        <f>Tabelle1[[#This Row],[Gross Sales Price]]*0.12</f>
        <v>2.6856</v>
      </c>
      <c r="F659" s="1">
        <v>0.4</v>
      </c>
      <c r="G659" s="1">
        <v>3</v>
      </c>
      <c r="H659" s="1">
        <v>2</v>
      </c>
      <c r="I659" s="2">
        <f>Tabelle1[[#This Row],[Base Price]]+Tabelle1[[#This Row],[Total Selling Costs
	]]+Tabelle1[[#This Row],[DHL Costs]]+Tabelle1[[#This Row],[Handling Costs]]+Tabelle1[[#This Row],[Fixed Costs]]</f>
        <v>14.5556</v>
      </c>
      <c r="J659" s="1">
        <f>Tabelle1[[#This Row],[Net Sales Price]]-Tabelle1[[#This Row],[Variable Costs]]</f>
        <v>4.410501694915256</v>
      </c>
    </row>
    <row r="660" spans="1:10" x14ac:dyDescent="0.25">
      <c r="A660" s="8" t="s">
        <v>668</v>
      </c>
      <c r="B660" s="1">
        <v>8.6300000000000008</v>
      </c>
      <c r="C660" s="1">
        <v>22.74</v>
      </c>
      <c r="D660" s="1">
        <f>Tabelle1[[#This Row],[Gross Sales Price]]/1.18</f>
        <v>19.271186440677965</v>
      </c>
      <c r="E660" s="1">
        <f>Tabelle1[[#This Row],[Gross Sales Price]]*0.12</f>
        <v>2.7287999999999997</v>
      </c>
      <c r="F660" s="1">
        <v>0.4</v>
      </c>
      <c r="G660" s="1">
        <v>3</v>
      </c>
      <c r="H660" s="1">
        <v>2</v>
      </c>
      <c r="I660" s="2">
        <f>Tabelle1[[#This Row],[Base Price]]+Tabelle1[[#This Row],[Total Selling Costs
	]]+Tabelle1[[#This Row],[DHL Costs]]+Tabelle1[[#This Row],[Handling Costs]]+Tabelle1[[#This Row],[Fixed Costs]]</f>
        <v>16.758800000000001</v>
      </c>
      <c r="J660" s="1">
        <f>Tabelle1[[#This Row],[Net Sales Price]]-Tabelle1[[#This Row],[Variable Costs]]</f>
        <v>2.5123864406779646</v>
      </c>
    </row>
    <row r="661" spans="1:10" x14ac:dyDescent="0.25">
      <c r="A661" s="8" t="s">
        <v>669</v>
      </c>
      <c r="B661" s="1">
        <v>11.41</v>
      </c>
      <c r="C661" s="1">
        <v>8.56</v>
      </c>
      <c r="D661" s="1">
        <f>Tabelle1[[#This Row],[Gross Sales Price]]/1.18</f>
        <v>7.2542372881355943</v>
      </c>
      <c r="E661" s="1">
        <f>Tabelle1[[#This Row],[Gross Sales Price]]*0.12</f>
        <v>1.0272000000000001</v>
      </c>
      <c r="F661" s="1">
        <v>0.4</v>
      </c>
      <c r="G661" s="1">
        <v>3</v>
      </c>
      <c r="H661" s="1">
        <v>2</v>
      </c>
      <c r="I661" s="2">
        <f>Tabelle1[[#This Row],[Base Price]]+Tabelle1[[#This Row],[Total Selling Costs
	]]+Tabelle1[[#This Row],[DHL Costs]]+Tabelle1[[#This Row],[Handling Costs]]+Tabelle1[[#This Row],[Fixed Costs]]</f>
        <v>17.837199999999999</v>
      </c>
      <c r="J661" s="1">
        <f>Tabelle1[[#This Row],[Net Sales Price]]-Tabelle1[[#This Row],[Variable Costs]]</f>
        <v>-10.582962711864404</v>
      </c>
    </row>
    <row r="662" spans="1:10" x14ac:dyDescent="0.25">
      <c r="A662" s="8" t="s">
        <v>670</v>
      </c>
      <c r="B662" s="1">
        <v>19.95</v>
      </c>
      <c r="C662" s="1">
        <v>4.41</v>
      </c>
      <c r="D662" s="1">
        <f>Tabelle1[[#This Row],[Gross Sales Price]]/1.18</f>
        <v>3.7372881355932206</v>
      </c>
      <c r="E662" s="1">
        <f>Tabelle1[[#This Row],[Gross Sales Price]]*0.12</f>
        <v>0.5292</v>
      </c>
      <c r="F662" s="1">
        <v>0.4</v>
      </c>
      <c r="G662" s="1">
        <v>3</v>
      </c>
      <c r="H662" s="1">
        <v>2</v>
      </c>
      <c r="I662" s="2">
        <f>Tabelle1[[#This Row],[Base Price]]+Tabelle1[[#This Row],[Total Selling Costs
	]]+Tabelle1[[#This Row],[DHL Costs]]+Tabelle1[[#This Row],[Handling Costs]]+Tabelle1[[#This Row],[Fixed Costs]]</f>
        <v>25.879199999999997</v>
      </c>
      <c r="J662" s="1">
        <f>Tabelle1[[#This Row],[Net Sales Price]]-Tabelle1[[#This Row],[Variable Costs]]</f>
        <v>-22.141911864406776</v>
      </c>
    </row>
    <row r="663" spans="1:10" x14ac:dyDescent="0.25">
      <c r="A663" s="8" t="s">
        <v>671</v>
      </c>
      <c r="B663" s="1">
        <v>16.84</v>
      </c>
      <c r="C663" s="1">
        <v>26.17</v>
      </c>
      <c r="D663" s="1">
        <f>Tabelle1[[#This Row],[Gross Sales Price]]/1.18</f>
        <v>22.177966101694917</v>
      </c>
      <c r="E663" s="1">
        <f>Tabelle1[[#This Row],[Gross Sales Price]]*0.12</f>
        <v>3.1404000000000001</v>
      </c>
      <c r="F663" s="1">
        <v>0.4</v>
      </c>
      <c r="G663" s="1">
        <v>3</v>
      </c>
      <c r="H663" s="1">
        <v>2</v>
      </c>
      <c r="I663" s="2">
        <f>Tabelle1[[#This Row],[Base Price]]+Tabelle1[[#This Row],[Total Selling Costs
	]]+Tabelle1[[#This Row],[DHL Costs]]+Tabelle1[[#This Row],[Handling Costs]]+Tabelle1[[#This Row],[Fixed Costs]]</f>
        <v>25.380399999999998</v>
      </c>
      <c r="J663" s="1">
        <f>Tabelle1[[#This Row],[Net Sales Price]]-Tabelle1[[#This Row],[Variable Costs]]</f>
        <v>-3.2024338983050811</v>
      </c>
    </row>
    <row r="664" spans="1:10" x14ac:dyDescent="0.25">
      <c r="A664" s="8" t="s">
        <v>672</v>
      </c>
      <c r="B664" s="1">
        <v>3.47</v>
      </c>
      <c r="C664" s="1">
        <v>11.62</v>
      </c>
      <c r="D664" s="1">
        <f>Tabelle1[[#This Row],[Gross Sales Price]]/1.18</f>
        <v>9.8474576271186436</v>
      </c>
      <c r="E664" s="1">
        <f>Tabelle1[[#This Row],[Gross Sales Price]]*0.12</f>
        <v>1.3943999999999999</v>
      </c>
      <c r="F664" s="1">
        <v>0.4</v>
      </c>
      <c r="G664" s="1">
        <v>3</v>
      </c>
      <c r="H664" s="1">
        <v>2</v>
      </c>
      <c r="I664" s="2">
        <f>Tabelle1[[#This Row],[Base Price]]+Tabelle1[[#This Row],[Total Selling Costs
	]]+Tabelle1[[#This Row],[DHL Costs]]+Tabelle1[[#This Row],[Handling Costs]]+Tabelle1[[#This Row],[Fixed Costs]]</f>
        <v>10.2644</v>
      </c>
      <c r="J664" s="1">
        <f>Tabelle1[[#This Row],[Net Sales Price]]-Tabelle1[[#This Row],[Variable Costs]]</f>
        <v>-0.4169423728813566</v>
      </c>
    </row>
    <row r="665" spans="1:10" x14ac:dyDescent="0.25">
      <c r="A665" s="8" t="s">
        <v>673</v>
      </c>
      <c r="B665" s="1">
        <v>14.69</v>
      </c>
      <c r="C665" s="1">
        <v>5.53</v>
      </c>
      <c r="D665" s="1">
        <f>Tabelle1[[#This Row],[Gross Sales Price]]/1.18</f>
        <v>4.6864406779661021</v>
      </c>
      <c r="E665" s="1">
        <f>Tabelle1[[#This Row],[Gross Sales Price]]*0.12</f>
        <v>0.66359999999999997</v>
      </c>
      <c r="F665" s="1">
        <v>0.4</v>
      </c>
      <c r="G665" s="1">
        <v>3</v>
      </c>
      <c r="H665" s="1">
        <v>2</v>
      </c>
      <c r="I665" s="2">
        <f>Tabelle1[[#This Row],[Base Price]]+Tabelle1[[#This Row],[Total Selling Costs
	]]+Tabelle1[[#This Row],[DHL Costs]]+Tabelle1[[#This Row],[Handling Costs]]+Tabelle1[[#This Row],[Fixed Costs]]</f>
        <v>20.753599999999999</v>
      </c>
      <c r="J665" s="1">
        <f>Tabelle1[[#This Row],[Net Sales Price]]-Tabelle1[[#This Row],[Variable Costs]]</f>
        <v>-16.067159322033895</v>
      </c>
    </row>
    <row r="666" spans="1:10" x14ac:dyDescent="0.25">
      <c r="A666" s="8" t="s">
        <v>674</v>
      </c>
      <c r="B666" s="1">
        <v>2.82</v>
      </c>
      <c r="C666" s="1">
        <v>20.41</v>
      </c>
      <c r="D666" s="1">
        <f>Tabelle1[[#This Row],[Gross Sales Price]]/1.18</f>
        <v>17.296610169491526</v>
      </c>
      <c r="E666" s="1">
        <f>Tabelle1[[#This Row],[Gross Sales Price]]*0.12</f>
        <v>2.4491999999999998</v>
      </c>
      <c r="F666" s="1">
        <v>0.4</v>
      </c>
      <c r="G666" s="1">
        <v>3</v>
      </c>
      <c r="H666" s="1">
        <v>2</v>
      </c>
      <c r="I666" s="2">
        <f>Tabelle1[[#This Row],[Base Price]]+Tabelle1[[#This Row],[Total Selling Costs
	]]+Tabelle1[[#This Row],[DHL Costs]]+Tabelle1[[#This Row],[Handling Costs]]+Tabelle1[[#This Row],[Fixed Costs]]</f>
        <v>10.6692</v>
      </c>
      <c r="J666" s="1">
        <f>Tabelle1[[#This Row],[Net Sales Price]]-Tabelle1[[#This Row],[Variable Costs]]</f>
        <v>6.6274101694915259</v>
      </c>
    </row>
    <row r="667" spans="1:10" x14ac:dyDescent="0.25">
      <c r="A667" s="8" t="s">
        <v>675</v>
      </c>
      <c r="B667" s="1">
        <v>5.22</v>
      </c>
      <c r="C667" s="1">
        <v>23.09</v>
      </c>
      <c r="D667" s="1">
        <f>Tabelle1[[#This Row],[Gross Sales Price]]/1.18</f>
        <v>19.567796610169491</v>
      </c>
      <c r="E667" s="1">
        <f>Tabelle1[[#This Row],[Gross Sales Price]]*0.12</f>
        <v>2.7707999999999999</v>
      </c>
      <c r="F667" s="1">
        <v>0.4</v>
      </c>
      <c r="G667" s="1">
        <v>3</v>
      </c>
      <c r="H667" s="1">
        <v>2</v>
      </c>
      <c r="I667" s="2">
        <f>Tabelle1[[#This Row],[Base Price]]+Tabelle1[[#This Row],[Total Selling Costs
	]]+Tabelle1[[#This Row],[DHL Costs]]+Tabelle1[[#This Row],[Handling Costs]]+Tabelle1[[#This Row],[Fixed Costs]]</f>
        <v>13.3908</v>
      </c>
      <c r="J667" s="1">
        <f>Tabelle1[[#This Row],[Net Sales Price]]-Tabelle1[[#This Row],[Variable Costs]]</f>
        <v>6.1769966101694909</v>
      </c>
    </row>
    <row r="668" spans="1:10" x14ac:dyDescent="0.25">
      <c r="A668" s="8" t="s">
        <v>676</v>
      </c>
      <c r="B668" s="1">
        <v>16.93</v>
      </c>
      <c r="C668" s="1">
        <v>13.39</v>
      </c>
      <c r="D668" s="1">
        <f>Tabelle1[[#This Row],[Gross Sales Price]]/1.18</f>
        <v>11.347457627118645</v>
      </c>
      <c r="E668" s="1">
        <f>Tabelle1[[#This Row],[Gross Sales Price]]*0.12</f>
        <v>1.6068</v>
      </c>
      <c r="F668" s="1">
        <v>0.4</v>
      </c>
      <c r="G668" s="1">
        <v>3</v>
      </c>
      <c r="H668" s="1">
        <v>2</v>
      </c>
      <c r="I668" s="2">
        <f>Tabelle1[[#This Row],[Base Price]]+Tabelle1[[#This Row],[Total Selling Costs
	]]+Tabelle1[[#This Row],[DHL Costs]]+Tabelle1[[#This Row],[Handling Costs]]+Tabelle1[[#This Row],[Fixed Costs]]</f>
        <v>23.936799999999998</v>
      </c>
      <c r="J668" s="1">
        <f>Tabelle1[[#This Row],[Net Sales Price]]-Tabelle1[[#This Row],[Variable Costs]]</f>
        <v>-12.589342372881353</v>
      </c>
    </row>
    <row r="669" spans="1:10" x14ac:dyDescent="0.25">
      <c r="A669" s="8" t="s">
        <v>677</v>
      </c>
      <c r="B669" s="1">
        <v>12.98</v>
      </c>
      <c r="C669" s="1">
        <v>30.61</v>
      </c>
      <c r="D669" s="1">
        <f>Tabelle1[[#This Row],[Gross Sales Price]]/1.18</f>
        <v>25.940677966101696</v>
      </c>
      <c r="E669" s="1">
        <f>Tabelle1[[#This Row],[Gross Sales Price]]*0.12</f>
        <v>3.6731999999999996</v>
      </c>
      <c r="F669" s="1">
        <v>0.4</v>
      </c>
      <c r="G669" s="1">
        <v>3</v>
      </c>
      <c r="H669" s="1">
        <v>2</v>
      </c>
      <c r="I669" s="2">
        <f>Tabelle1[[#This Row],[Base Price]]+Tabelle1[[#This Row],[Total Selling Costs
	]]+Tabelle1[[#This Row],[DHL Costs]]+Tabelle1[[#This Row],[Handling Costs]]+Tabelle1[[#This Row],[Fixed Costs]]</f>
        <v>22.053199999999997</v>
      </c>
      <c r="J669" s="1">
        <f>Tabelle1[[#This Row],[Net Sales Price]]-Tabelle1[[#This Row],[Variable Costs]]</f>
        <v>3.8874779661016987</v>
      </c>
    </row>
    <row r="670" spans="1:10" x14ac:dyDescent="0.25">
      <c r="A670" s="8" t="s">
        <v>678</v>
      </c>
      <c r="B670" s="1">
        <v>15.51</v>
      </c>
      <c r="C670" s="1">
        <v>21.89</v>
      </c>
      <c r="D670" s="1">
        <f>Tabelle1[[#This Row],[Gross Sales Price]]/1.18</f>
        <v>18.550847457627121</v>
      </c>
      <c r="E670" s="1">
        <f>Tabelle1[[#This Row],[Gross Sales Price]]*0.12</f>
        <v>2.6267999999999998</v>
      </c>
      <c r="F670" s="1">
        <v>0.4</v>
      </c>
      <c r="G670" s="1">
        <v>3</v>
      </c>
      <c r="H670" s="1">
        <v>2</v>
      </c>
      <c r="I670" s="2">
        <f>Tabelle1[[#This Row],[Base Price]]+Tabelle1[[#This Row],[Total Selling Costs
	]]+Tabelle1[[#This Row],[DHL Costs]]+Tabelle1[[#This Row],[Handling Costs]]+Tabelle1[[#This Row],[Fixed Costs]]</f>
        <v>23.536799999999999</v>
      </c>
      <c r="J670" s="1">
        <f>Tabelle1[[#This Row],[Net Sales Price]]-Tabelle1[[#This Row],[Variable Costs]]</f>
        <v>-4.9859525423728783</v>
      </c>
    </row>
    <row r="671" spans="1:10" x14ac:dyDescent="0.25">
      <c r="A671" s="8" t="s">
        <v>679</v>
      </c>
      <c r="B671" s="1">
        <v>16.37</v>
      </c>
      <c r="C671" s="1">
        <v>40.85</v>
      </c>
      <c r="D671" s="1">
        <f>Tabelle1[[#This Row],[Gross Sales Price]]/1.18</f>
        <v>34.618644067796616</v>
      </c>
      <c r="E671" s="1">
        <f>Tabelle1[[#This Row],[Gross Sales Price]]*0.12</f>
        <v>4.9020000000000001</v>
      </c>
      <c r="F671" s="1">
        <v>0.4</v>
      </c>
      <c r="G671" s="1">
        <v>3</v>
      </c>
      <c r="H671" s="1">
        <v>2</v>
      </c>
      <c r="I671" s="2">
        <f>Tabelle1[[#This Row],[Base Price]]+Tabelle1[[#This Row],[Total Selling Costs
	]]+Tabelle1[[#This Row],[DHL Costs]]+Tabelle1[[#This Row],[Handling Costs]]+Tabelle1[[#This Row],[Fixed Costs]]</f>
        <v>26.672000000000001</v>
      </c>
      <c r="J671" s="1">
        <f>Tabelle1[[#This Row],[Net Sales Price]]-Tabelle1[[#This Row],[Variable Costs]]</f>
        <v>7.9466440677966155</v>
      </c>
    </row>
    <row r="672" spans="1:10" x14ac:dyDescent="0.25">
      <c r="A672" s="8" t="s">
        <v>680</v>
      </c>
      <c r="B672" s="1">
        <v>6.17</v>
      </c>
      <c r="C672" s="1">
        <v>36.21</v>
      </c>
      <c r="D672" s="1">
        <f>Tabelle1[[#This Row],[Gross Sales Price]]/1.18</f>
        <v>30.686440677966104</v>
      </c>
      <c r="E672" s="1">
        <f>Tabelle1[[#This Row],[Gross Sales Price]]*0.12</f>
        <v>4.3452000000000002</v>
      </c>
      <c r="F672" s="1">
        <v>0.4</v>
      </c>
      <c r="G672" s="1">
        <v>3</v>
      </c>
      <c r="H672" s="1">
        <v>2</v>
      </c>
      <c r="I672" s="2">
        <f>Tabelle1[[#This Row],[Base Price]]+Tabelle1[[#This Row],[Total Selling Costs
	]]+Tabelle1[[#This Row],[DHL Costs]]+Tabelle1[[#This Row],[Handling Costs]]+Tabelle1[[#This Row],[Fixed Costs]]</f>
        <v>15.9152</v>
      </c>
      <c r="J672" s="1">
        <f>Tabelle1[[#This Row],[Net Sales Price]]-Tabelle1[[#This Row],[Variable Costs]]</f>
        <v>14.771240677966103</v>
      </c>
    </row>
    <row r="673" spans="1:10" x14ac:dyDescent="0.25">
      <c r="A673" s="8" t="s">
        <v>681</v>
      </c>
      <c r="B673" s="1">
        <v>7.98</v>
      </c>
      <c r="C673" s="1">
        <v>21.53</v>
      </c>
      <c r="D673" s="1">
        <f>Tabelle1[[#This Row],[Gross Sales Price]]/1.18</f>
        <v>18.245762711864408</v>
      </c>
      <c r="E673" s="1">
        <f>Tabelle1[[#This Row],[Gross Sales Price]]*0.12</f>
        <v>2.5836000000000001</v>
      </c>
      <c r="F673" s="1">
        <v>0.4</v>
      </c>
      <c r="G673" s="1">
        <v>3</v>
      </c>
      <c r="H673" s="1">
        <v>2</v>
      </c>
      <c r="I673" s="2">
        <f>Tabelle1[[#This Row],[Base Price]]+Tabelle1[[#This Row],[Total Selling Costs
	]]+Tabelle1[[#This Row],[DHL Costs]]+Tabelle1[[#This Row],[Handling Costs]]+Tabelle1[[#This Row],[Fixed Costs]]</f>
        <v>15.963600000000001</v>
      </c>
      <c r="J673" s="1">
        <f>Tabelle1[[#This Row],[Net Sales Price]]-Tabelle1[[#This Row],[Variable Costs]]</f>
        <v>2.282162711864407</v>
      </c>
    </row>
    <row r="674" spans="1:10" x14ac:dyDescent="0.25">
      <c r="A674" s="8" t="s">
        <v>682</v>
      </c>
      <c r="B674" s="1">
        <v>13.88</v>
      </c>
      <c r="C674" s="1">
        <v>3.46</v>
      </c>
      <c r="D674" s="1">
        <f>Tabelle1[[#This Row],[Gross Sales Price]]/1.18</f>
        <v>2.9322033898305087</v>
      </c>
      <c r="E674" s="1">
        <f>Tabelle1[[#This Row],[Gross Sales Price]]*0.12</f>
        <v>0.41519999999999996</v>
      </c>
      <c r="F674" s="1">
        <v>0.4</v>
      </c>
      <c r="G674" s="1">
        <v>3</v>
      </c>
      <c r="H674" s="1">
        <v>2</v>
      </c>
      <c r="I674" s="2">
        <f>Tabelle1[[#This Row],[Base Price]]+Tabelle1[[#This Row],[Total Selling Costs
	]]+Tabelle1[[#This Row],[DHL Costs]]+Tabelle1[[#This Row],[Handling Costs]]+Tabelle1[[#This Row],[Fixed Costs]]</f>
        <v>19.6952</v>
      </c>
      <c r="J674" s="1">
        <f>Tabelle1[[#This Row],[Net Sales Price]]-Tabelle1[[#This Row],[Variable Costs]]</f>
        <v>-16.762996610169491</v>
      </c>
    </row>
    <row r="675" spans="1:10" x14ac:dyDescent="0.25">
      <c r="A675" s="8" t="s">
        <v>683</v>
      </c>
      <c r="B675" s="1">
        <v>15.62</v>
      </c>
      <c r="C675" s="1">
        <v>4</v>
      </c>
      <c r="D675" s="1">
        <f>Tabelle1[[#This Row],[Gross Sales Price]]/1.18</f>
        <v>3.3898305084745766</v>
      </c>
      <c r="E675" s="1">
        <f>Tabelle1[[#This Row],[Gross Sales Price]]*0.12</f>
        <v>0.48</v>
      </c>
      <c r="F675" s="1">
        <v>0.4</v>
      </c>
      <c r="G675" s="1">
        <v>3</v>
      </c>
      <c r="H675" s="1">
        <v>2</v>
      </c>
      <c r="I675" s="2">
        <f>Tabelle1[[#This Row],[Base Price]]+Tabelle1[[#This Row],[Total Selling Costs
	]]+Tabelle1[[#This Row],[DHL Costs]]+Tabelle1[[#This Row],[Handling Costs]]+Tabelle1[[#This Row],[Fixed Costs]]</f>
        <v>21.499999999999996</v>
      </c>
      <c r="J675" s="1">
        <f>Tabelle1[[#This Row],[Net Sales Price]]-Tabelle1[[#This Row],[Variable Costs]]</f>
        <v>-18.110169491525419</v>
      </c>
    </row>
    <row r="676" spans="1:10" x14ac:dyDescent="0.25">
      <c r="A676" s="8" t="s">
        <v>684</v>
      </c>
      <c r="B676" s="1">
        <v>13.54</v>
      </c>
      <c r="C676" s="1">
        <v>1.27</v>
      </c>
      <c r="D676" s="1">
        <f>Tabelle1[[#This Row],[Gross Sales Price]]/1.18</f>
        <v>1.076271186440678</v>
      </c>
      <c r="E676" s="1">
        <f>Tabelle1[[#This Row],[Gross Sales Price]]*0.12</f>
        <v>0.15240000000000001</v>
      </c>
      <c r="F676" s="1">
        <v>0.4</v>
      </c>
      <c r="G676" s="1">
        <v>3</v>
      </c>
      <c r="H676" s="1">
        <v>2</v>
      </c>
      <c r="I676" s="2">
        <f>Tabelle1[[#This Row],[Base Price]]+Tabelle1[[#This Row],[Total Selling Costs
	]]+Tabelle1[[#This Row],[DHL Costs]]+Tabelle1[[#This Row],[Handling Costs]]+Tabelle1[[#This Row],[Fixed Costs]]</f>
        <v>19.092399999999998</v>
      </c>
      <c r="J676" s="1">
        <f>Tabelle1[[#This Row],[Net Sales Price]]-Tabelle1[[#This Row],[Variable Costs]]</f>
        <v>-18.01612881355932</v>
      </c>
    </row>
    <row r="677" spans="1:10" x14ac:dyDescent="0.25">
      <c r="A677" s="8" t="s">
        <v>685</v>
      </c>
      <c r="B677" s="1">
        <v>19.82</v>
      </c>
      <c r="C677" s="1">
        <v>10.74</v>
      </c>
      <c r="D677" s="1">
        <f>Tabelle1[[#This Row],[Gross Sales Price]]/1.18</f>
        <v>9.1016949152542388</v>
      </c>
      <c r="E677" s="1">
        <f>Tabelle1[[#This Row],[Gross Sales Price]]*0.12</f>
        <v>1.2887999999999999</v>
      </c>
      <c r="F677" s="1">
        <v>0.4</v>
      </c>
      <c r="G677" s="1">
        <v>3</v>
      </c>
      <c r="H677" s="1">
        <v>2</v>
      </c>
      <c r="I677" s="2">
        <f>Tabelle1[[#This Row],[Base Price]]+Tabelle1[[#This Row],[Total Selling Costs
	]]+Tabelle1[[#This Row],[DHL Costs]]+Tabelle1[[#This Row],[Handling Costs]]+Tabelle1[[#This Row],[Fixed Costs]]</f>
        <v>26.508799999999997</v>
      </c>
      <c r="J677" s="1">
        <f>Tabelle1[[#This Row],[Net Sales Price]]-Tabelle1[[#This Row],[Variable Costs]]</f>
        <v>-17.407105084745758</v>
      </c>
    </row>
    <row r="678" spans="1:10" x14ac:dyDescent="0.25">
      <c r="A678" s="8" t="s">
        <v>686</v>
      </c>
      <c r="B678" s="1">
        <v>16.010000000000002</v>
      </c>
      <c r="C678" s="1">
        <v>30.05</v>
      </c>
      <c r="D678" s="1">
        <f>Tabelle1[[#This Row],[Gross Sales Price]]/1.18</f>
        <v>25.466101694915256</v>
      </c>
      <c r="E678" s="1">
        <f>Tabelle1[[#This Row],[Gross Sales Price]]*0.12</f>
        <v>3.6059999999999999</v>
      </c>
      <c r="F678" s="1">
        <v>0.4</v>
      </c>
      <c r="G678" s="1">
        <v>3</v>
      </c>
      <c r="H678" s="1">
        <v>2</v>
      </c>
      <c r="I678" s="2">
        <f>Tabelle1[[#This Row],[Base Price]]+Tabelle1[[#This Row],[Total Selling Costs
	]]+Tabelle1[[#This Row],[DHL Costs]]+Tabelle1[[#This Row],[Handling Costs]]+Tabelle1[[#This Row],[Fixed Costs]]</f>
        <v>25.015999999999998</v>
      </c>
      <c r="J678" s="1">
        <f>Tabelle1[[#This Row],[Net Sales Price]]-Tabelle1[[#This Row],[Variable Costs]]</f>
        <v>0.45010169491525787</v>
      </c>
    </row>
    <row r="679" spans="1:10" x14ac:dyDescent="0.25">
      <c r="A679" s="8" t="s">
        <v>687</v>
      </c>
      <c r="B679" s="1">
        <v>17.78</v>
      </c>
      <c r="C679" s="1">
        <v>9.81</v>
      </c>
      <c r="D679" s="1">
        <f>Tabelle1[[#This Row],[Gross Sales Price]]/1.18</f>
        <v>8.3135593220338997</v>
      </c>
      <c r="E679" s="1">
        <f>Tabelle1[[#This Row],[Gross Sales Price]]*0.12</f>
        <v>1.1772</v>
      </c>
      <c r="F679" s="1">
        <v>0.4</v>
      </c>
      <c r="G679" s="1">
        <v>3</v>
      </c>
      <c r="H679" s="1">
        <v>2</v>
      </c>
      <c r="I679" s="2">
        <f>Tabelle1[[#This Row],[Base Price]]+Tabelle1[[#This Row],[Total Selling Costs
	]]+Tabelle1[[#This Row],[DHL Costs]]+Tabelle1[[#This Row],[Handling Costs]]+Tabelle1[[#This Row],[Fixed Costs]]</f>
        <v>24.357199999999999</v>
      </c>
      <c r="J679" s="1">
        <f>Tabelle1[[#This Row],[Net Sales Price]]-Tabelle1[[#This Row],[Variable Costs]]</f>
        <v>-16.043640677966099</v>
      </c>
    </row>
    <row r="680" spans="1:10" x14ac:dyDescent="0.25">
      <c r="A680" s="8" t="s">
        <v>688</v>
      </c>
      <c r="B680" s="1">
        <v>19.97</v>
      </c>
      <c r="C680" s="1">
        <v>40.14</v>
      </c>
      <c r="D680" s="1">
        <f>Tabelle1[[#This Row],[Gross Sales Price]]/1.18</f>
        <v>34.016949152542374</v>
      </c>
      <c r="E680" s="1">
        <f>Tabelle1[[#This Row],[Gross Sales Price]]*0.12</f>
        <v>4.8167999999999997</v>
      </c>
      <c r="F680" s="1">
        <v>0.4</v>
      </c>
      <c r="G680" s="1">
        <v>3</v>
      </c>
      <c r="H680" s="1">
        <v>2</v>
      </c>
      <c r="I680" s="2">
        <f>Tabelle1[[#This Row],[Base Price]]+Tabelle1[[#This Row],[Total Selling Costs
	]]+Tabelle1[[#This Row],[DHL Costs]]+Tabelle1[[#This Row],[Handling Costs]]+Tabelle1[[#This Row],[Fixed Costs]]</f>
        <v>30.186799999999998</v>
      </c>
      <c r="J680" s="1">
        <f>Tabelle1[[#This Row],[Net Sales Price]]-Tabelle1[[#This Row],[Variable Costs]]</f>
        <v>3.8301491525423756</v>
      </c>
    </row>
    <row r="681" spans="1:10" x14ac:dyDescent="0.25">
      <c r="A681" s="8" t="s">
        <v>689</v>
      </c>
      <c r="B681" s="1">
        <v>3.6</v>
      </c>
      <c r="C681" s="1">
        <v>19.22</v>
      </c>
      <c r="D681" s="1">
        <f>Tabelle1[[#This Row],[Gross Sales Price]]/1.18</f>
        <v>16.288135593220339</v>
      </c>
      <c r="E681" s="1">
        <f>Tabelle1[[#This Row],[Gross Sales Price]]*0.12</f>
        <v>2.3063999999999996</v>
      </c>
      <c r="F681" s="1">
        <v>0.4</v>
      </c>
      <c r="G681" s="1">
        <v>3</v>
      </c>
      <c r="H681" s="1">
        <v>2</v>
      </c>
      <c r="I681" s="2">
        <f>Tabelle1[[#This Row],[Base Price]]+Tabelle1[[#This Row],[Total Selling Costs
	]]+Tabelle1[[#This Row],[DHL Costs]]+Tabelle1[[#This Row],[Handling Costs]]+Tabelle1[[#This Row],[Fixed Costs]]</f>
        <v>11.3064</v>
      </c>
      <c r="J681" s="1">
        <f>Tabelle1[[#This Row],[Net Sales Price]]-Tabelle1[[#This Row],[Variable Costs]]</f>
        <v>4.9817355932203391</v>
      </c>
    </row>
    <row r="682" spans="1:10" x14ac:dyDescent="0.25">
      <c r="A682" s="8" t="s">
        <v>690</v>
      </c>
      <c r="B682" s="1">
        <v>4.37</v>
      </c>
      <c r="C682" s="1">
        <v>33.31</v>
      </c>
      <c r="D682" s="1">
        <f>Tabelle1[[#This Row],[Gross Sales Price]]/1.18</f>
        <v>28.228813559322038</v>
      </c>
      <c r="E682" s="1">
        <f>Tabelle1[[#This Row],[Gross Sales Price]]*0.12</f>
        <v>3.9972000000000003</v>
      </c>
      <c r="F682" s="1">
        <v>0.4</v>
      </c>
      <c r="G682" s="1">
        <v>3</v>
      </c>
      <c r="H682" s="1">
        <v>2</v>
      </c>
      <c r="I682" s="2">
        <f>Tabelle1[[#This Row],[Base Price]]+Tabelle1[[#This Row],[Total Selling Costs
	]]+Tabelle1[[#This Row],[DHL Costs]]+Tabelle1[[#This Row],[Handling Costs]]+Tabelle1[[#This Row],[Fixed Costs]]</f>
        <v>13.767200000000001</v>
      </c>
      <c r="J682" s="1">
        <f>Tabelle1[[#This Row],[Net Sales Price]]-Tabelle1[[#This Row],[Variable Costs]]</f>
        <v>14.461613559322037</v>
      </c>
    </row>
    <row r="683" spans="1:10" x14ac:dyDescent="0.25">
      <c r="A683" s="8" t="s">
        <v>691</v>
      </c>
      <c r="B683" s="1">
        <v>16.98</v>
      </c>
      <c r="C683" s="1">
        <v>9.6</v>
      </c>
      <c r="D683" s="1">
        <f>Tabelle1[[#This Row],[Gross Sales Price]]/1.18</f>
        <v>8.1355932203389827</v>
      </c>
      <c r="E683" s="1">
        <f>Tabelle1[[#This Row],[Gross Sales Price]]*0.12</f>
        <v>1.1519999999999999</v>
      </c>
      <c r="F683" s="1">
        <v>0.4</v>
      </c>
      <c r="G683" s="1">
        <v>3</v>
      </c>
      <c r="H683" s="1">
        <v>2</v>
      </c>
      <c r="I683" s="2">
        <f>Tabelle1[[#This Row],[Base Price]]+Tabelle1[[#This Row],[Total Selling Costs
	]]+Tabelle1[[#This Row],[DHL Costs]]+Tabelle1[[#This Row],[Handling Costs]]+Tabelle1[[#This Row],[Fixed Costs]]</f>
        <v>23.532</v>
      </c>
      <c r="J683" s="1">
        <f>Tabelle1[[#This Row],[Net Sales Price]]-Tabelle1[[#This Row],[Variable Costs]]</f>
        <v>-15.396406779661017</v>
      </c>
    </row>
    <row r="684" spans="1:10" x14ac:dyDescent="0.25">
      <c r="A684" s="8" t="s">
        <v>692</v>
      </c>
      <c r="B684" s="1">
        <v>11.35</v>
      </c>
      <c r="C684" s="1">
        <v>37.270000000000003</v>
      </c>
      <c r="D684" s="1">
        <f>Tabelle1[[#This Row],[Gross Sales Price]]/1.18</f>
        <v>31.584745762711869</v>
      </c>
      <c r="E684" s="1">
        <f>Tabelle1[[#This Row],[Gross Sales Price]]*0.12</f>
        <v>4.4724000000000004</v>
      </c>
      <c r="F684" s="1">
        <v>0.4</v>
      </c>
      <c r="G684" s="1">
        <v>3</v>
      </c>
      <c r="H684" s="1">
        <v>2</v>
      </c>
      <c r="I684" s="2">
        <f>Tabelle1[[#This Row],[Base Price]]+Tabelle1[[#This Row],[Total Selling Costs
	]]+Tabelle1[[#This Row],[DHL Costs]]+Tabelle1[[#This Row],[Handling Costs]]+Tabelle1[[#This Row],[Fixed Costs]]</f>
        <v>21.2224</v>
      </c>
      <c r="J684" s="1">
        <f>Tabelle1[[#This Row],[Net Sales Price]]-Tabelle1[[#This Row],[Variable Costs]]</f>
        <v>10.362345762711868</v>
      </c>
    </row>
    <row r="685" spans="1:10" x14ac:dyDescent="0.25">
      <c r="A685" s="8" t="s">
        <v>693</v>
      </c>
      <c r="B685" s="1">
        <v>8</v>
      </c>
      <c r="C685" s="1">
        <v>7.23</v>
      </c>
      <c r="D685" s="1">
        <f>Tabelle1[[#This Row],[Gross Sales Price]]/1.18</f>
        <v>6.1271186440677976</v>
      </c>
      <c r="E685" s="1">
        <f>Tabelle1[[#This Row],[Gross Sales Price]]*0.12</f>
        <v>0.86760000000000004</v>
      </c>
      <c r="F685" s="1">
        <v>0.4</v>
      </c>
      <c r="G685" s="1">
        <v>3</v>
      </c>
      <c r="H685" s="1">
        <v>2</v>
      </c>
      <c r="I685" s="2">
        <f>Tabelle1[[#This Row],[Base Price]]+Tabelle1[[#This Row],[Total Selling Costs
	]]+Tabelle1[[#This Row],[DHL Costs]]+Tabelle1[[#This Row],[Handling Costs]]+Tabelle1[[#This Row],[Fixed Costs]]</f>
        <v>14.2676</v>
      </c>
      <c r="J685" s="1">
        <f>Tabelle1[[#This Row],[Net Sales Price]]-Tabelle1[[#This Row],[Variable Costs]]</f>
        <v>-8.1404813559322022</v>
      </c>
    </row>
    <row r="686" spans="1:10" x14ac:dyDescent="0.25">
      <c r="A686" s="8" t="s">
        <v>694</v>
      </c>
      <c r="B686" s="1">
        <v>13.32</v>
      </c>
      <c r="C686" s="1">
        <v>37.64</v>
      </c>
      <c r="D686" s="1">
        <f>Tabelle1[[#This Row],[Gross Sales Price]]/1.18</f>
        <v>31.898305084745765</v>
      </c>
      <c r="E686" s="1">
        <f>Tabelle1[[#This Row],[Gross Sales Price]]*0.12</f>
        <v>4.5167999999999999</v>
      </c>
      <c r="F686" s="1">
        <v>0.4</v>
      </c>
      <c r="G686" s="1">
        <v>3</v>
      </c>
      <c r="H686" s="1">
        <v>2</v>
      </c>
      <c r="I686" s="2">
        <f>Tabelle1[[#This Row],[Base Price]]+Tabelle1[[#This Row],[Total Selling Costs
	]]+Tabelle1[[#This Row],[DHL Costs]]+Tabelle1[[#This Row],[Handling Costs]]+Tabelle1[[#This Row],[Fixed Costs]]</f>
        <v>23.236799999999999</v>
      </c>
      <c r="J686" s="1">
        <f>Tabelle1[[#This Row],[Net Sales Price]]-Tabelle1[[#This Row],[Variable Costs]]</f>
        <v>8.661505084745766</v>
      </c>
    </row>
    <row r="687" spans="1:10" x14ac:dyDescent="0.25">
      <c r="A687" s="8" t="s">
        <v>695</v>
      </c>
      <c r="B687" s="1">
        <v>6.22</v>
      </c>
      <c r="C687" s="1">
        <v>40.22</v>
      </c>
      <c r="D687" s="1">
        <f>Tabelle1[[#This Row],[Gross Sales Price]]/1.18</f>
        <v>34.084745762711869</v>
      </c>
      <c r="E687" s="1">
        <f>Tabelle1[[#This Row],[Gross Sales Price]]*0.12</f>
        <v>4.8263999999999996</v>
      </c>
      <c r="F687" s="1">
        <v>0.4</v>
      </c>
      <c r="G687" s="1">
        <v>3</v>
      </c>
      <c r="H687" s="1">
        <v>2</v>
      </c>
      <c r="I687" s="2">
        <f>Tabelle1[[#This Row],[Base Price]]+Tabelle1[[#This Row],[Total Selling Costs
	]]+Tabelle1[[#This Row],[DHL Costs]]+Tabelle1[[#This Row],[Handling Costs]]+Tabelle1[[#This Row],[Fixed Costs]]</f>
        <v>16.446399999999997</v>
      </c>
      <c r="J687" s="1">
        <f>Tabelle1[[#This Row],[Net Sales Price]]-Tabelle1[[#This Row],[Variable Costs]]</f>
        <v>17.638345762711872</v>
      </c>
    </row>
    <row r="688" spans="1:10" x14ac:dyDescent="0.25">
      <c r="A688" s="8" t="s">
        <v>696</v>
      </c>
      <c r="B688" s="1">
        <v>12.5</v>
      </c>
      <c r="C688" s="1">
        <v>35.97</v>
      </c>
      <c r="D688" s="1">
        <f>Tabelle1[[#This Row],[Gross Sales Price]]/1.18</f>
        <v>30.483050847457626</v>
      </c>
      <c r="E688" s="1">
        <f>Tabelle1[[#This Row],[Gross Sales Price]]*0.12</f>
        <v>4.3163999999999998</v>
      </c>
      <c r="F688" s="1">
        <v>0.4</v>
      </c>
      <c r="G688" s="1">
        <v>3</v>
      </c>
      <c r="H688" s="1">
        <v>2</v>
      </c>
      <c r="I688" s="2">
        <f>Tabelle1[[#This Row],[Base Price]]+Tabelle1[[#This Row],[Total Selling Costs
	]]+Tabelle1[[#This Row],[DHL Costs]]+Tabelle1[[#This Row],[Handling Costs]]+Tabelle1[[#This Row],[Fixed Costs]]</f>
        <v>22.2164</v>
      </c>
      <c r="J688" s="1">
        <f>Tabelle1[[#This Row],[Net Sales Price]]-Tabelle1[[#This Row],[Variable Costs]]</f>
        <v>8.2666508474576261</v>
      </c>
    </row>
    <row r="689" spans="1:10" x14ac:dyDescent="0.25">
      <c r="A689" s="8" t="s">
        <v>697</v>
      </c>
      <c r="B689" s="1">
        <v>6.82</v>
      </c>
      <c r="C689" s="1">
        <v>8</v>
      </c>
      <c r="D689" s="1">
        <f>Tabelle1[[#This Row],[Gross Sales Price]]/1.18</f>
        <v>6.7796610169491531</v>
      </c>
      <c r="E689" s="1">
        <f>Tabelle1[[#This Row],[Gross Sales Price]]*0.12</f>
        <v>0.96</v>
      </c>
      <c r="F689" s="1">
        <v>0.4</v>
      </c>
      <c r="G689" s="1">
        <v>3</v>
      </c>
      <c r="H689" s="1">
        <v>2</v>
      </c>
      <c r="I689" s="2">
        <f>Tabelle1[[#This Row],[Base Price]]+Tabelle1[[#This Row],[Total Selling Costs
	]]+Tabelle1[[#This Row],[DHL Costs]]+Tabelle1[[#This Row],[Handling Costs]]+Tabelle1[[#This Row],[Fixed Costs]]</f>
        <v>13.180000000000001</v>
      </c>
      <c r="J689" s="1">
        <f>Tabelle1[[#This Row],[Net Sales Price]]-Tabelle1[[#This Row],[Variable Costs]]</f>
        <v>-6.4003389830508484</v>
      </c>
    </row>
    <row r="690" spans="1:10" x14ac:dyDescent="0.25">
      <c r="A690" s="8" t="s">
        <v>698</v>
      </c>
      <c r="B690" s="1">
        <v>15.62</v>
      </c>
      <c r="C690" s="1">
        <v>14.58</v>
      </c>
      <c r="D690" s="1">
        <f>Tabelle1[[#This Row],[Gross Sales Price]]/1.18</f>
        <v>12.35593220338983</v>
      </c>
      <c r="E690" s="1">
        <f>Tabelle1[[#This Row],[Gross Sales Price]]*0.12</f>
        <v>1.7496</v>
      </c>
      <c r="F690" s="1">
        <v>0.4</v>
      </c>
      <c r="G690" s="1">
        <v>3</v>
      </c>
      <c r="H690" s="1">
        <v>2</v>
      </c>
      <c r="I690" s="2">
        <f>Tabelle1[[#This Row],[Base Price]]+Tabelle1[[#This Row],[Total Selling Costs
	]]+Tabelle1[[#This Row],[DHL Costs]]+Tabelle1[[#This Row],[Handling Costs]]+Tabelle1[[#This Row],[Fixed Costs]]</f>
        <v>22.769599999999997</v>
      </c>
      <c r="J690" s="1">
        <f>Tabelle1[[#This Row],[Net Sales Price]]-Tabelle1[[#This Row],[Variable Costs]]</f>
        <v>-10.413667796610167</v>
      </c>
    </row>
    <row r="691" spans="1:10" x14ac:dyDescent="0.25">
      <c r="A691" s="8" t="s">
        <v>699</v>
      </c>
      <c r="B691" s="1">
        <v>9.2100000000000009</v>
      </c>
      <c r="C691" s="1">
        <v>18.760000000000002</v>
      </c>
      <c r="D691" s="1">
        <f>Tabelle1[[#This Row],[Gross Sales Price]]/1.18</f>
        <v>15.898305084745765</v>
      </c>
      <c r="E691" s="1">
        <f>Tabelle1[[#This Row],[Gross Sales Price]]*0.12</f>
        <v>2.2512000000000003</v>
      </c>
      <c r="F691" s="1">
        <v>0.4</v>
      </c>
      <c r="G691" s="1">
        <v>3</v>
      </c>
      <c r="H691" s="1">
        <v>2</v>
      </c>
      <c r="I691" s="2">
        <f>Tabelle1[[#This Row],[Base Price]]+Tabelle1[[#This Row],[Total Selling Costs
	]]+Tabelle1[[#This Row],[DHL Costs]]+Tabelle1[[#This Row],[Handling Costs]]+Tabelle1[[#This Row],[Fixed Costs]]</f>
        <v>16.8612</v>
      </c>
      <c r="J691" s="1">
        <f>Tabelle1[[#This Row],[Net Sales Price]]-Tabelle1[[#This Row],[Variable Costs]]</f>
        <v>-0.96289491525423543</v>
      </c>
    </row>
    <row r="692" spans="1:10" x14ac:dyDescent="0.25">
      <c r="A692" s="8" t="s">
        <v>700</v>
      </c>
      <c r="B692" s="1">
        <v>18.12</v>
      </c>
      <c r="C692" s="1">
        <v>22.88</v>
      </c>
      <c r="D692" s="1">
        <f>Tabelle1[[#This Row],[Gross Sales Price]]/1.18</f>
        <v>19.389830508474578</v>
      </c>
      <c r="E692" s="1">
        <f>Tabelle1[[#This Row],[Gross Sales Price]]*0.12</f>
        <v>2.7455999999999996</v>
      </c>
      <c r="F692" s="1">
        <v>0.4</v>
      </c>
      <c r="G692" s="1">
        <v>3</v>
      </c>
      <c r="H692" s="1">
        <v>2</v>
      </c>
      <c r="I692" s="2">
        <f>Tabelle1[[#This Row],[Base Price]]+Tabelle1[[#This Row],[Total Selling Costs
	]]+Tabelle1[[#This Row],[DHL Costs]]+Tabelle1[[#This Row],[Handling Costs]]+Tabelle1[[#This Row],[Fixed Costs]]</f>
        <v>26.265599999999999</v>
      </c>
      <c r="J692" s="1">
        <f>Tabelle1[[#This Row],[Net Sales Price]]-Tabelle1[[#This Row],[Variable Costs]]</f>
        <v>-6.8757694915254213</v>
      </c>
    </row>
    <row r="693" spans="1:10" x14ac:dyDescent="0.25">
      <c r="A693" s="8" t="s">
        <v>701</v>
      </c>
      <c r="B693" s="1">
        <v>4.1900000000000004</v>
      </c>
      <c r="C693" s="1">
        <v>28.67</v>
      </c>
      <c r="D693" s="1">
        <f>Tabelle1[[#This Row],[Gross Sales Price]]/1.18</f>
        <v>24.29661016949153</v>
      </c>
      <c r="E693" s="1">
        <f>Tabelle1[[#This Row],[Gross Sales Price]]*0.12</f>
        <v>3.4403999999999999</v>
      </c>
      <c r="F693" s="1">
        <v>0.4</v>
      </c>
      <c r="G693" s="1">
        <v>3</v>
      </c>
      <c r="H693" s="1">
        <v>2</v>
      </c>
      <c r="I693" s="2">
        <f>Tabelle1[[#This Row],[Base Price]]+Tabelle1[[#This Row],[Total Selling Costs
	]]+Tabelle1[[#This Row],[DHL Costs]]+Tabelle1[[#This Row],[Handling Costs]]+Tabelle1[[#This Row],[Fixed Costs]]</f>
        <v>13.0304</v>
      </c>
      <c r="J693" s="1">
        <f>Tabelle1[[#This Row],[Net Sales Price]]-Tabelle1[[#This Row],[Variable Costs]]</f>
        <v>11.266210169491529</v>
      </c>
    </row>
    <row r="694" spans="1:10" x14ac:dyDescent="0.25">
      <c r="A694" s="8" t="s">
        <v>702</v>
      </c>
      <c r="B694" s="1">
        <v>16.52</v>
      </c>
      <c r="C694" s="1">
        <v>40.31</v>
      </c>
      <c r="D694" s="1">
        <f>Tabelle1[[#This Row],[Gross Sales Price]]/1.18</f>
        <v>34.161016949152547</v>
      </c>
      <c r="E694" s="1">
        <f>Tabelle1[[#This Row],[Gross Sales Price]]*0.12</f>
        <v>4.8372000000000002</v>
      </c>
      <c r="F694" s="1">
        <v>0.4</v>
      </c>
      <c r="G694" s="1">
        <v>3</v>
      </c>
      <c r="H694" s="1">
        <v>2</v>
      </c>
      <c r="I694" s="2">
        <f>Tabelle1[[#This Row],[Base Price]]+Tabelle1[[#This Row],[Total Selling Costs
	]]+Tabelle1[[#This Row],[DHL Costs]]+Tabelle1[[#This Row],[Handling Costs]]+Tabelle1[[#This Row],[Fixed Costs]]</f>
        <v>26.757199999999997</v>
      </c>
      <c r="J694" s="1">
        <f>Tabelle1[[#This Row],[Net Sales Price]]-Tabelle1[[#This Row],[Variable Costs]]</f>
        <v>7.4038169491525494</v>
      </c>
    </row>
    <row r="695" spans="1:10" x14ac:dyDescent="0.25">
      <c r="A695" s="8" t="s">
        <v>703</v>
      </c>
      <c r="B695" s="1">
        <v>1.28</v>
      </c>
      <c r="C695" s="1">
        <v>4.12</v>
      </c>
      <c r="D695" s="1">
        <f>Tabelle1[[#This Row],[Gross Sales Price]]/1.18</f>
        <v>3.491525423728814</v>
      </c>
      <c r="E695" s="1">
        <f>Tabelle1[[#This Row],[Gross Sales Price]]*0.12</f>
        <v>0.49440000000000001</v>
      </c>
      <c r="F695" s="1">
        <v>0.4</v>
      </c>
      <c r="G695" s="1">
        <v>3</v>
      </c>
      <c r="H695" s="1">
        <v>2</v>
      </c>
      <c r="I695" s="2">
        <f>Tabelle1[[#This Row],[Base Price]]+Tabelle1[[#This Row],[Total Selling Costs
	]]+Tabelle1[[#This Row],[DHL Costs]]+Tabelle1[[#This Row],[Handling Costs]]+Tabelle1[[#This Row],[Fixed Costs]]</f>
        <v>7.1744000000000003</v>
      </c>
      <c r="J695" s="1">
        <f>Tabelle1[[#This Row],[Net Sales Price]]-Tabelle1[[#This Row],[Variable Costs]]</f>
        <v>-3.6828745762711863</v>
      </c>
    </row>
    <row r="696" spans="1:10" x14ac:dyDescent="0.25">
      <c r="A696" s="8" t="s">
        <v>704</v>
      </c>
      <c r="B696" s="1">
        <v>13.62</v>
      </c>
      <c r="C696" s="1">
        <v>22.78</v>
      </c>
      <c r="D696" s="1">
        <f>Tabelle1[[#This Row],[Gross Sales Price]]/1.18</f>
        <v>19.305084745762713</v>
      </c>
      <c r="E696" s="1">
        <f>Tabelle1[[#This Row],[Gross Sales Price]]*0.12</f>
        <v>2.7336</v>
      </c>
      <c r="F696" s="1">
        <v>0.4</v>
      </c>
      <c r="G696" s="1">
        <v>3</v>
      </c>
      <c r="H696" s="1">
        <v>2</v>
      </c>
      <c r="I696" s="2">
        <f>Tabelle1[[#This Row],[Base Price]]+Tabelle1[[#This Row],[Total Selling Costs
	]]+Tabelle1[[#This Row],[DHL Costs]]+Tabelle1[[#This Row],[Handling Costs]]+Tabelle1[[#This Row],[Fixed Costs]]</f>
        <v>21.753599999999999</v>
      </c>
      <c r="J696" s="1">
        <f>Tabelle1[[#This Row],[Net Sales Price]]-Tabelle1[[#This Row],[Variable Costs]]</f>
        <v>-2.4485152542372859</v>
      </c>
    </row>
    <row r="697" spans="1:10" x14ac:dyDescent="0.25">
      <c r="A697" s="8" t="s">
        <v>705</v>
      </c>
      <c r="B697" s="1">
        <v>5.75</v>
      </c>
      <c r="C697" s="1">
        <v>33.74</v>
      </c>
      <c r="D697" s="1">
        <f>Tabelle1[[#This Row],[Gross Sales Price]]/1.18</f>
        <v>28.593220338983055</v>
      </c>
      <c r="E697" s="1">
        <f>Tabelle1[[#This Row],[Gross Sales Price]]*0.12</f>
        <v>4.0488</v>
      </c>
      <c r="F697" s="1">
        <v>0.4</v>
      </c>
      <c r="G697" s="1">
        <v>3</v>
      </c>
      <c r="H697" s="1">
        <v>2</v>
      </c>
      <c r="I697" s="2">
        <f>Tabelle1[[#This Row],[Base Price]]+Tabelle1[[#This Row],[Total Selling Costs
	]]+Tabelle1[[#This Row],[DHL Costs]]+Tabelle1[[#This Row],[Handling Costs]]+Tabelle1[[#This Row],[Fixed Costs]]</f>
        <v>15.1988</v>
      </c>
      <c r="J697" s="1">
        <f>Tabelle1[[#This Row],[Net Sales Price]]-Tabelle1[[#This Row],[Variable Costs]]</f>
        <v>13.394420338983055</v>
      </c>
    </row>
    <row r="698" spans="1:10" x14ac:dyDescent="0.25">
      <c r="A698" s="8" t="s">
        <v>706</v>
      </c>
      <c r="B698" s="1">
        <v>9.98</v>
      </c>
      <c r="C698" s="1">
        <v>30.61</v>
      </c>
      <c r="D698" s="1">
        <f>Tabelle1[[#This Row],[Gross Sales Price]]/1.18</f>
        <v>25.940677966101696</v>
      </c>
      <c r="E698" s="1">
        <f>Tabelle1[[#This Row],[Gross Sales Price]]*0.12</f>
        <v>3.6731999999999996</v>
      </c>
      <c r="F698" s="1">
        <v>0.4</v>
      </c>
      <c r="G698" s="1">
        <v>3</v>
      </c>
      <c r="H698" s="1">
        <v>2</v>
      </c>
      <c r="I698" s="2">
        <f>Tabelle1[[#This Row],[Base Price]]+Tabelle1[[#This Row],[Total Selling Costs
	]]+Tabelle1[[#This Row],[DHL Costs]]+Tabelle1[[#This Row],[Handling Costs]]+Tabelle1[[#This Row],[Fixed Costs]]</f>
        <v>19.053199999999997</v>
      </c>
      <c r="J698" s="1">
        <f>Tabelle1[[#This Row],[Net Sales Price]]-Tabelle1[[#This Row],[Variable Costs]]</f>
        <v>6.8874779661016987</v>
      </c>
    </row>
    <row r="699" spans="1:10" x14ac:dyDescent="0.25">
      <c r="A699" s="8" t="s">
        <v>707</v>
      </c>
      <c r="B699" s="1">
        <v>11.32</v>
      </c>
      <c r="C699" s="1">
        <v>29.38</v>
      </c>
      <c r="D699" s="1">
        <f>Tabelle1[[#This Row],[Gross Sales Price]]/1.18</f>
        <v>24.898305084745765</v>
      </c>
      <c r="E699" s="1">
        <f>Tabelle1[[#This Row],[Gross Sales Price]]*0.12</f>
        <v>3.5255999999999998</v>
      </c>
      <c r="F699" s="1">
        <v>0.4</v>
      </c>
      <c r="G699" s="1">
        <v>3</v>
      </c>
      <c r="H699" s="1">
        <v>2</v>
      </c>
      <c r="I699" s="2">
        <f>Tabelle1[[#This Row],[Base Price]]+Tabelle1[[#This Row],[Total Selling Costs
	]]+Tabelle1[[#This Row],[DHL Costs]]+Tabelle1[[#This Row],[Handling Costs]]+Tabelle1[[#This Row],[Fixed Costs]]</f>
        <v>20.2456</v>
      </c>
      <c r="J699" s="1">
        <f>Tabelle1[[#This Row],[Net Sales Price]]-Tabelle1[[#This Row],[Variable Costs]]</f>
        <v>4.6527050847457652</v>
      </c>
    </row>
    <row r="700" spans="1:10" x14ac:dyDescent="0.25">
      <c r="A700" s="8" t="s">
        <v>708</v>
      </c>
      <c r="B700" s="1">
        <v>17.78</v>
      </c>
      <c r="C700" s="1">
        <v>40.58</v>
      </c>
      <c r="D700" s="1">
        <f>Tabelle1[[#This Row],[Gross Sales Price]]/1.18</f>
        <v>34.389830508474574</v>
      </c>
      <c r="E700" s="1">
        <f>Tabelle1[[#This Row],[Gross Sales Price]]*0.12</f>
        <v>4.8695999999999993</v>
      </c>
      <c r="F700" s="1">
        <v>0.4</v>
      </c>
      <c r="G700" s="1">
        <v>3</v>
      </c>
      <c r="H700" s="1">
        <v>2</v>
      </c>
      <c r="I700" s="2">
        <f>Tabelle1[[#This Row],[Base Price]]+Tabelle1[[#This Row],[Total Selling Costs
	]]+Tabelle1[[#This Row],[DHL Costs]]+Tabelle1[[#This Row],[Handling Costs]]+Tabelle1[[#This Row],[Fixed Costs]]</f>
        <v>28.049599999999998</v>
      </c>
      <c r="J700" s="1">
        <f>Tabelle1[[#This Row],[Net Sales Price]]-Tabelle1[[#This Row],[Variable Costs]]</f>
        <v>6.3402305084745763</v>
      </c>
    </row>
    <row r="701" spans="1:10" x14ac:dyDescent="0.25">
      <c r="A701" s="8" t="s">
        <v>709</v>
      </c>
      <c r="B701" s="1">
        <v>8.3800000000000008</v>
      </c>
      <c r="C701" s="1">
        <v>6.58</v>
      </c>
      <c r="D701" s="1">
        <f>Tabelle1[[#This Row],[Gross Sales Price]]/1.18</f>
        <v>5.5762711864406782</v>
      </c>
      <c r="E701" s="1">
        <f>Tabelle1[[#This Row],[Gross Sales Price]]*0.12</f>
        <v>0.78959999999999997</v>
      </c>
      <c r="F701" s="1">
        <v>0.4</v>
      </c>
      <c r="G701" s="1">
        <v>3</v>
      </c>
      <c r="H701" s="1">
        <v>2</v>
      </c>
      <c r="I701" s="2">
        <f>Tabelle1[[#This Row],[Base Price]]+Tabelle1[[#This Row],[Total Selling Costs
	]]+Tabelle1[[#This Row],[DHL Costs]]+Tabelle1[[#This Row],[Handling Costs]]+Tabelle1[[#This Row],[Fixed Costs]]</f>
        <v>14.569600000000001</v>
      </c>
      <c r="J701" s="1">
        <f>Tabelle1[[#This Row],[Net Sales Price]]-Tabelle1[[#This Row],[Variable Costs]]</f>
        <v>-8.993328813559323</v>
      </c>
    </row>
    <row r="702" spans="1:10" x14ac:dyDescent="0.25">
      <c r="A702" s="8" t="s">
        <v>710</v>
      </c>
      <c r="B702" s="1">
        <v>7.31</v>
      </c>
      <c r="C702" s="1">
        <v>33.04</v>
      </c>
      <c r="D702" s="1">
        <f>Tabelle1[[#This Row],[Gross Sales Price]]/1.18</f>
        <v>28</v>
      </c>
      <c r="E702" s="1">
        <f>Tabelle1[[#This Row],[Gross Sales Price]]*0.12</f>
        <v>3.9647999999999999</v>
      </c>
      <c r="F702" s="1">
        <v>0.4</v>
      </c>
      <c r="G702" s="1">
        <v>3</v>
      </c>
      <c r="H702" s="1">
        <v>2</v>
      </c>
      <c r="I702" s="2">
        <f>Tabelle1[[#This Row],[Base Price]]+Tabelle1[[#This Row],[Total Selling Costs
	]]+Tabelle1[[#This Row],[DHL Costs]]+Tabelle1[[#This Row],[Handling Costs]]+Tabelle1[[#This Row],[Fixed Costs]]</f>
        <v>16.674799999999998</v>
      </c>
      <c r="J702" s="1">
        <f>Tabelle1[[#This Row],[Net Sales Price]]-Tabelle1[[#This Row],[Variable Costs]]</f>
        <v>11.325200000000002</v>
      </c>
    </row>
    <row r="703" spans="1:10" x14ac:dyDescent="0.25">
      <c r="A703" s="8" t="s">
        <v>711</v>
      </c>
      <c r="B703" s="1">
        <v>5.63</v>
      </c>
      <c r="C703" s="1">
        <v>36.96</v>
      </c>
      <c r="D703" s="1">
        <f>Tabelle1[[#This Row],[Gross Sales Price]]/1.18</f>
        <v>31.322033898305087</v>
      </c>
      <c r="E703" s="1">
        <f>Tabelle1[[#This Row],[Gross Sales Price]]*0.12</f>
        <v>4.4352</v>
      </c>
      <c r="F703" s="1">
        <v>0.4</v>
      </c>
      <c r="G703" s="1">
        <v>3</v>
      </c>
      <c r="H703" s="1">
        <v>2</v>
      </c>
      <c r="I703" s="2">
        <f>Tabelle1[[#This Row],[Base Price]]+Tabelle1[[#This Row],[Total Selling Costs
	]]+Tabelle1[[#This Row],[DHL Costs]]+Tabelle1[[#This Row],[Handling Costs]]+Tabelle1[[#This Row],[Fixed Costs]]</f>
        <v>15.465200000000001</v>
      </c>
      <c r="J703" s="1">
        <f>Tabelle1[[#This Row],[Net Sales Price]]-Tabelle1[[#This Row],[Variable Costs]]</f>
        <v>15.856833898305085</v>
      </c>
    </row>
    <row r="704" spans="1:10" x14ac:dyDescent="0.25">
      <c r="A704" s="8" t="s">
        <v>712</v>
      </c>
      <c r="B704" s="1">
        <v>14.52</v>
      </c>
      <c r="C704" s="1">
        <v>14.26</v>
      </c>
      <c r="D704" s="1">
        <f>Tabelle1[[#This Row],[Gross Sales Price]]/1.18</f>
        <v>12.084745762711865</v>
      </c>
      <c r="E704" s="1">
        <f>Tabelle1[[#This Row],[Gross Sales Price]]*0.12</f>
        <v>1.7111999999999998</v>
      </c>
      <c r="F704" s="1">
        <v>0.4</v>
      </c>
      <c r="G704" s="1">
        <v>3</v>
      </c>
      <c r="H704" s="1">
        <v>2</v>
      </c>
      <c r="I704" s="2">
        <f>Tabelle1[[#This Row],[Base Price]]+Tabelle1[[#This Row],[Total Selling Costs
	]]+Tabelle1[[#This Row],[DHL Costs]]+Tabelle1[[#This Row],[Handling Costs]]+Tabelle1[[#This Row],[Fixed Costs]]</f>
        <v>21.6312</v>
      </c>
      <c r="J704" s="1">
        <f>Tabelle1[[#This Row],[Net Sales Price]]-Tabelle1[[#This Row],[Variable Costs]]</f>
        <v>-9.5464542372881347</v>
      </c>
    </row>
    <row r="705" spans="1:10" x14ac:dyDescent="0.25">
      <c r="A705" s="8" t="s">
        <v>713</v>
      </c>
      <c r="B705" s="1">
        <v>13.28</v>
      </c>
      <c r="C705" s="1">
        <v>21.2</v>
      </c>
      <c r="D705" s="1">
        <f>Tabelle1[[#This Row],[Gross Sales Price]]/1.18</f>
        <v>17.966101694915256</v>
      </c>
      <c r="E705" s="1">
        <f>Tabelle1[[#This Row],[Gross Sales Price]]*0.12</f>
        <v>2.544</v>
      </c>
      <c r="F705" s="1">
        <v>0.4</v>
      </c>
      <c r="G705" s="1">
        <v>3</v>
      </c>
      <c r="H705" s="1">
        <v>2</v>
      </c>
      <c r="I705" s="2">
        <f>Tabelle1[[#This Row],[Base Price]]+Tabelle1[[#This Row],[Total Selling Costs
	]]+Tabelle1[[#This Row],[DHL Costs]]+Tabelle1[[#This Row],[Handling Costs]]+Tabelle1[[#This Row],[Fixed Costs]]</f>
        <v>21.223999999999997</v>
      </c>
      <c r="J705" s="1">
        <f>Tabelle1[[#This Row],[Net Sales Price]]-Tabelle1[[#This Row],[Variable Costs]]</f>
        <v>-3.2578983050847405</v>
      </c>
    </row>
    <row r="706" spans="1:10" x14ac:dyDescent="0.25">
      <c r="A706" s="8" t="s">
        <v>714</v>
      </c>
      <c r="B706" s="1">
        <v>2.75</v>
      </c>
      <c r="C706" s="1">
        <v>18.18</v>
      </c>
      <c r="D706" s="1">
        <f>Tabelle1[[#This Row],[Gross Sales Price]]/1.18</f>
        <v>15.40677966101695</v>
      </c>
      <c r="E706" s="1">
        <f>Tabelle1[[#This Row],[Gross Sales Price]]*0.12</f>
        <v>2.1816</v>
      </c>
      <c r="F706" s="1">
        <v>0.4</v>
      </c>
      <c r="G706" s="1">
        <v>3</v>
      </c>
      <c r="H706" s="1">
        <v>2</v>
      </c>
      <c r="I706" s="2">
        <f>Tabelle1[[#This Row],[Base Price]]+Tabelle1[[#This Row],[Total Selling Costs
	]]+Tabelle1[[#This Row],[DHL Costs]]+Tabelle1[[#This Row],[Handling Costs]]+Tabelle1[[#This Row],[Fixed Costs]]</f>
        <v>10.3316</v>
      </c>
      <c r="J706" s="1">
        <f>Tabelle1[[#This Row],[Net Sales Price]]-Tabelle1[[#This Row],[Variable Costs]]</f>
        <v>5.07517966101695</v>
      </c>
    </row>
    <row r="707" spans="1:10" x14ac:dyDescent="0.25">
      <c r="I707"/>
      <c r="J707"/>
    </row>
    <row r="708" spans="1:10" x14ac:dyDescent="0.25">
      <c r="I708"/>
      <c r="J708"/>
    </row>
    <row r="709" spans="1:10" x14ac:dyDescent="0.25">
      <c r="I709"/>
      <c r="J709"/>
    </row>
    <row r="710" spans="1:10" x14ac:dyDescent="0.25">
      <c r="I710"/>
      <c r="J710"/>
    </row>
    <row r="711" spans="1:10" x14ac:dyDescent="0.25">
      <c r="I711"/>
      <c r="J711"/>
    </row>
    <row r="712" spans="1:10" x14ac:dyDescent="0.25">
      <c r="I712"/>
      <c r="J712"/>
    </row>
    <row r="713" spans="1:10" x14ac:dyDescent="0.25">
      <c r="I713"/>
      <c r="J713"/>
    </row>
    <row r="714" spans="1:10" x14ac:dyDescent="0.25">
      <c r="I714"/>
      <c r="J714"/>
    </row>
    <row r="715" spans="1:10" x14ac:dyDescent="0.25">
      <c r="I715"/>
      <c r="J715"/>
    </row>
    <row r="716" spans="1:10" x14ac:dyDescent="0.25">
      <c r="I716"/>
      <c r="J716"/>
    </row>
    <row r="717" spans="1:10" x14ac:dyDescent="0.25">
      <c r="I717"/>
      <c r="J717"/>
    </row>
    <row r="718" spans="1:10" x14ac:dyDescent="0.25">
      <c r="I718"/>
      <c r="J718"/>
    </row>
    <row r="719" spans="1:10" x14ac:dyDescent="0.25">
      <c r="I719"/>
      <c r="J719"/>
    </row>
    <row r="720" spans="1:10" x14ac:dyDescent="0.25">
      <c r="I720"/>
      <c r="J720"/>
    </row>
    <row r="721" spans="9:10" x14ac:dyDescent="0.25">
      <c r="I721"/>
      <c r="J721"/>
    </row>
    <row r="722" spans="9:10" x14ac:dyDescent="0.25">
      <c r="I722"/>
      <c r="J722"/>
    </row>
    <row r="723" spans="9:10" x14ac:dyDescent="0.25">
      <c r="I723"/>
      <c r="J723"/>
    </row>
    <row r="724" spans="9:10" x14ac:dyDescent="0.25">
      <c r="I724"/>
      <c r="J724"/>
    </row>
    <row r="725" spans="9:10" x14ac:dyDescent="0.25">
      <c r="I725"/>
      <c r="J725"/>
    </row>
    <row r="726" spans="9:10" x14ac:dyDescent="0.25">
      <c r="I726"/>
      <c r="J726"/>
    </row>
    <row r="727" spans="9:10" x14ac:dyDescent="0.25">
      <c r="I727"/>
      <c r="J727"/>
    </row>
    <row r="728" spans="9:10" x14ac:dyDescent="0.25">
      <c r="I728"/>
      <c r="J728"/>
    </row>
    <row r="729" spans="9:10" x14ac:dyDescent="0.25">
      <c r="I729"/>
      <c r="J729"/>
    </row>
    <row r="730" spans="9:10" x14ac:dyDescent="0.25">
      <c r="I730"/>
      <c r="J730"/>
    </row>
    <row r="731" spans="9:10" x14ac:dyDescent="0.25">
      <c r="I731"/>
      <c r="J731"/>
    </row>
    <row r="732" spans="9:10" x14ac:dyDescent="0.25">
      <c r="I732"/>
      <c r="J732"/>
    </row>
    <row r="733" spans="9:10" x14ac:dyDescent="0.25">
      <c r="I733"/>
      <c r="J733"/>
    </row>
    <row r="734" spans="9:10" x14ac:dyDescent="0.25">
      <c r="I734"/>
      <c r="J734"/>
    </row>
  </sheetData>
  <phoneticPr fontId="1" type="noConversion"/>
  <conditionalFormatting sqref="J1:J706">
    <cfRule type="cellIs" dxfId="20" priority="2" operator="lessThan">
      <formula>0.5</formula>
    </cfRule>
  </conditionalFormatting>
  <conditionalFormatting sqref="A735:A1048576 A1:A706">
    <cfRule type="duplicateValues" dxfId="19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BayPriceUpdate">
                <anchor moveWithCells="1" sizeWithCells="1">
                  <from>
                    <xdr:col>10</xdr:col>
                    <xdr:colOff>714375</xdr:colOff>
                    <xdr:row>3</xdr:row>
                    <xdr:rowOff>9525</xdr:rowOff>
                  </from>
                  <to>
                    <xdr:col>13</xdr:col>
                    <xdr:colOff>485775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2025-03-13T08:56:41Z</dcterms:modified>
</cp:coreProperties>
</file>